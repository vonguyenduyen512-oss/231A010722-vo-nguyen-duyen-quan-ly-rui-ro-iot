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6.1_DanhMucTaiSan" sheetId="1" state="visible" r:id="rId3"/>
    <sheet name="6.2_RiskRegister" sheetId="2" state="visible" r:id="rId4"/>
    <sheet name="6.3_MaTran5x5" sheetId="3" state="visible" r:id="rId5"/>
    <sheet name="6.4_KeHoachXuLy" sheetId="4" state="visible" r:id="rId6"/>
    <sheet name="6.5_Checklist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<sst xmlns="http://schemas.openxmlformats.org/spreadsheetml/2006/main" count="249" uniqueCount="186">
  <si>
    <t xml:space="preserve">Bảng 6.1. Danh mục tài sản của hệ thống IoT quy mô nhỏ</t>
  </si>
  <si>
    <t xml:space="preserve">Đề tài 35 - Quản lý rủi ro bảo mật cho hệ thống IoT quy mô nhỏ - Võ Nguyễn Duyên - 231A010722</t>
  </si>
  <si>
    <t xml:space="preserve">Tài sản</t>
  </si>
  <si>
    <t xml:space="preserve">Loại tài sản</t>
  </si>
  <si>
    <t xml:space="preserve">Giá trị (1-5)</t>
  </si>
  <si>
    <t xml:space="preserve">Vùng tin cậy</t>
  </si>
  <si>
    <t xml:space="preserve">Cảm biến nhiệt độ/độ ẩm</t>
  </si>
  <si>
    <t xml:space="preserve">Thiết bị IoT</t>
  </si>
  <si>
    <t xml:space="preserve">Vùng không tin cậy (Thiết bị)</t>
  </si>
  <si>
    <t xml:space="preserve">Camera IP</t>
  </si>
  <si>
    <t xml:space="preserve">Cảm biến chuyển động (PIR)</t>
  </si>
  <si>
    <t xml:space="preserve">Khóa cửa thông minh</t>
  </si>
  <si>
    <t xml:space="preserve">Gateway / Edge Device</t>
  </si>
  <si>
    <t xml:space="preserve">Thiết bị mạng</t>
  </si>
  <si>
    <t xml:space="preserve">Vùng bán tin cậy (Gateway/Edge)</t>
  </si>
  <si>
    <t xml:space="preserve">Firmware thiết bị</t>
  </si>
  <si>
    <t xml:space="preserve">Phần mềm nhúng</t>
  </si>
  <si>
    <t xml:space="preserve">Vùng không tin cậy / bán tin cậy</t>
  </si>
  <si>
    <t xml:space="preserve">Dữ liệu cảm biến</t>
  </si>
  <si>
    <t xml:space="preserve">Dữ liệu</t>
  </si>
  <si>
    <t xml:space="preserve">Xuyên suốt các vùng</t>
  </si>
  <si>
    <t xml:space="preserve">Tài khoản quản trị</t>
  </si>
  <si>
    <t xml:space="preserve">Định danh/Truy cập</t>
  </si>
  <si>
    <t xml:space="preserve">Vùng tin cậy (Ứng dụng/Người dùng)</t>
  </si>
  <si>
    <t xml:space="preserve">Cơ sở dữ liệu (Database)</t>
  </si>
  <si>
    <t xml:space="preserve">Dữ liệu/Hạ tầng</t>
  </si>
  <si>
    <t xml:space="preserve">Vùng tin cậy (Server/Cloud)</t>
  </si>
  <si>
    <t xml:space="preserve">Máy chủ / Cloud server</t>
  </si>
  <si>
    <t xml:space="preserve">Hạ tầng</t>
  </si>
  <si>
    <t xml:space="preserve">Web Dashboard</t>
  </si>
  <si>
    <t xml:space="preserve">Phần mềm</t>
  </si>
  <si>
    <t xml:space="preserve">Ứng dụng di động (Mobile App)</t>
  </si>
  <si>
    <t xml:space="preserve">Khóa mã hóa (Encryption keys)</t>
  </si>
  <si>
    <t xml:space="preserve">Định danh/Bảo mật</t>
  </si>
  <si>
    <t xml:space="preserve">Hạ tầng mạng nội bộ/Internet</t>
  </si>
  <si>
    <t xml:space="preserve">Hạ tầng mạng</t>
  </si>
  <si>
    <t xml:space="preserve">Vùng bán tin cậy/không tin cậy</t>
  </si>
  <si>
    <t xml:space="preserve">Nhật ký hệ thống (Log)</t>
  </si>
  <si>
    <t xml:space="preserve">Tổng số tài sản:</t>
  </si>
  <si>
    <t xml:space="preserve">Giá trị trung bình:</t>
  </si>
  <si>
    <t xml:space="preserve">Bảng 6.2. Sổ đăng ký rủi ro (Risk Register)</t>
  </si>
  <si>
    <t xml:space="preserve">Risk = Likelihood (L) x Impact (I). Thang điểm: 1-4 Thấp, 5-9 Trung bình, 10-14 Cao, 15-19 Rất cao, 20-25 Nghiêm trọng</t>
  </si>
  <si>
    <t xml:space="preserve">ID</t>
  </si>
  <si>
    <t xml:space="preserve">Mối đe dọa</t>
  </si>
  <si>
    <t xml:space="preserve">Lỗ hổng</t>
  </si>
  <si>
    <t xml:space="preserve">L</t>
  </si>
  <si>
    <t xml:space="preserve">I</t>
  </si>
  <si>
    <t xml:space="preserve">Điểm rủi ro (L*I)</t>
  </si>
  <si>
    <t xml:space="preserve">Mức độ</t>
  </si>
  <si>
    <t xml:space="preserve">R-01</t>
  </si>
  <si>
    <t xml:space="preserve">Truy cập trái phép vào thiết bị</t>
  </si>
  <si>
    <t xml:space="preserve">Sử dụng mật khẩu mặc định của nhà sản xuất</t>
  </si>
  <si>
    <t xml:space="preserve">R-02</t>
  </si>
  <si>
    <t xml:space="preserve">Gateway</t>
  </si>
  <si>
    <t xml:space="preserve">Khai thác lỗ hổng để chiếm quyền điều khiển</t>
  </si>
  <si>
    <t xml:space="preserve">Gateway không được cập nhật firmware định kỳ</t>
  </si>
  <si>
    <t xml:space="preserve">R-03</t>
  </si>
  <si>
    <t xml:space="preserve">Nghe lén dữ liệu trong quá trình truyền tải</t>
  </si>
  <si>
    <t xml:space="preserve">Dữ liệu truyền giữa thiết bị và gateway không được mã hóa</t>
  </si>
  <si>
    <t xml:space="preserve">R-04</t>
  </si>
  <si>
    <t xml:space="preserve">Chiếm quyền tài khoản quản trị</t>
  </si>
  <si>
    <t xml:space="preserve">Mật khẩu yếu, không áp dụng MFA</t>
  </si>
  <si>
    <t xml:space="preserve">R-05</t>
  </si>
  <si>
    <t xml:space="preserve">Truy cập trái phép vào máy chủ</t>
  </si>
  <si>
    <t xml:space="preserve">Cấu hình sai, mở các cổng dịch vụ không cần thiết</t>
  </si>
  <si>
    <t xml:space="preserve">R-06</t>
  </si>
  <si>
    <t xml:space="preserve">Khai thác lỗ hổng đã công bố (CVE)</t>
  </si>
  <si>
    <t xml:space="preserve">Firmware lỗi thời, không còn được nhà sản xuất hỗ trợ</t>
  </si>
  <si>
    <t xml:space="preserve">R-07</t>
  </si>
  <si>
    <t xml:space="preserve">Gateway / MQTT</t>
  </si>
  <si>
    <t xml:space="preserve">Giả mạo thiết bị, chèn dữ liệu giả</t>
  </si>
  <si>
    <t xml:space="preserve">Giao thức MQTT không xác thực và không mã hóa</t>
  </si>
  <si>
    <t xml:space="preserve">R-08</t>
  </si>
  <si>
    <t xml:space="preserve">Hạ tầng mạng nội bộ</t>
  </si>
  <si>
    <t xml:space="preserve">Lan truyền tấn công giữa các thiết bị</t>
  </si>
  <si>
    <t xml:space="preserve">Mạng nội bộ không được phân đoạn (VLAN)</t>
  </si>
  <si>
    <t xml:space="preserve">R-09</t>
  </si>
  <si>
    <t xml:space="preserve">Không phát hiện kịp thời sự cố bảo mật</t>
  </si>
  <si>
    <t xml:space="preserve">Thiếu cơ chế giám sát và ghi log hoạt động hệ thống</t>
  </si>
  <si>
    <t xml:space="preserve">R-10</t>
  </si>
  <si>
    <t xml:space="preserve">Gateway / Máy chủ</t>
  </si>
  <si>
    <t xml:space="preserve">Tấn công từ chối dịch vụ (DoS)</t>
  </si>
  <si>
    <t xml:space="preserve">Thiếu cơ chế giới hạn tốc độ truy cập (rate limiting)</t>
  </si>
  <si>
    <t xml:space="preserve">R-11</t>
  </si>
  <si>
    <t xml:space="preserve">Ứng dụng quản lý</t>
  </si>
  <si>
    <t xml:space="preserve">Khai thác lỗ hổng ứng dụng web (XSS, SQLi)</t>
  </si>
  <si>
    <t xml:space="preserve">Ứng dụng quản lý chưa kiểm thử bảo mật đầy đủ</t>
  </si>
  <si>
    <t xml:space="preserve">R-12</t>
  </si>
  <si>
    <t xml:space="preserve">Cơ sở dữ liệu</t>
  </si>
  <si>
    <t xml:space="preserve">Mất dữ liệu khi xảy ra sự cố</t>
  </si>
  <si>
    <t xml:space="preserve">Sao lưu dữ liệu không đầy đủ hoặc không định kỳ</t>
  </si>
  <si>
    <t xml:space="preserve">R-13</t>
  </si>
  <si>
    <t xml:space="preserve">Khóa mã hóa</t>
  </si>
  <si>
    <t xml:space="preserve">Lộ khóa mã hóa dẫn đến giải mã dữ liệu trái phép</t>
  </si>
  <si>
    <t xml:space="preserve">Quản lý và lưu trữ khóa mã hóa không chặt chẽ</t>
  </si>
  <si>
    <t xml:space="preserve">R-14</t>
  </si>
  <si>
    <t xml:space="preserve">Ứng dụng quản lý / Server</t>
  </si>
  <si>
    <t xml:space="preserve">Truy cập trái phép từ xa vào hệ thống quản lý</t>
  </si>
  <si>
    <t xml:space="preserve">Cho phép truy cập từ xa không giới hạn IP, không dùng VPN</t>
  </si>
  <si>
    <t xml:space="preserve">R-15</t>
  </si>
  <si>
    <t xml:space="preserve">Người dùng / Quản trị viên</t>
  </si>
  <si>
    <t xml:space="preserve">Bị lừa đảo (phishing) dẫn đến lộ thông tin đăng nhập</t>
  </si>
  <si>
    <t xml:space="preserve">Thiếu nhận thức và đào tạo về an toàn thông tin</t>
  </si>
  <si>
    <t xml:space="preserve">R-16</t>
  </si>
  <si>
    <t xml:space="preserve">Mở khóa trái phép từ xa (replay attack)</t>
  </si>
  <si>
    <t xml:space="preserve">Giao thức không dây (Wi-Fi/ZigBee/BLE) thiếu mã hóa</t>
  </si>
  <si>
    <t xml:space="preserve">R-17</t>
  </si>
  <si>
    <t xml:space="preserve">Giả mạo/vô hiệu hóa cảm biến</t>
  </si>
  <si>
    <t xml:space="preserve">Thiếu cơ chế giám sát tình trạng hoạt động (heartbeat)</t>
  </si>
  <si>
    <t xml:space="preserve">Tổng hợp theo mức độ:</t>
  </si>
  <si>
    <t xml:space="preserve">Nghiêm trọng</t>
  </si>
  <si>
    <t xml:space="preserve">Rất cao</t>
  </si>
  <si>
    <t xml:space="preserve">Cao</t>
  </si>
  <si>
    <t xml:space="preserve">Trung bình</t>
  </si>
  <si>
    <t xml:space="preserve">Thấp</t>
  </si>
  <si>
    <t xml:space="preserve">Tổng số rủi ro:</t>
  </si>
  <si>
    <t xml:space="preserve">Bảng 6.3. Ma trận đánh giá rủi ro 5×5</t>
  </si>
  <si>
    <t xml:space="preserve">Điểm = Likelihood x Impact. Danh sách ID rủi ro trong mỗi ô được tính tự động từ sheet Risk Register (TEXTJOIN)</t>
  </si>
  <si>
    <t xml:space="preserve">Likelihood \ Impact</t>
  </si>
  <si>
    <t xml:space="preserve">5</t>
  </si>
  <si>
    <t xml:space="preserve">10</t>
  </si>
  <si>
    <t xml:space="preserve">15</t>
  </si>
  <si>
    <t xml:space="preserve">20 (R-04)</t>
  </si>
  <si>
    <t xml:space="preserve">25</t>
  </si>
  <si>
    <t xml:space="preserve">4</t>
  </si>
  <si>
    <t xml:space="preserve">8</t>
  </si>
  <si>
    <t xml:space="preserve">12 (R-09, R-15)</t>
  </si>
  <si>
    <t xml:space="preserve">16 (R-01, R-06, R-14)</t>
  </si>
  <si>
    <t xml:space="preserve">20 (R-02)</t>
  </si>
  <si>
    <t xml:space="preserve">3</t>
  </si>
  <si>
    <t xml:space="preserve">6</t>
  </si>
  <si>
    <t xml:space="preserve">9 (R-03, R-07)</t>
  </si>
  <si>
    <t xml:space="preserve">12 (R-05, R-11)</t>
  </si>
  <si>
    <t xml:space="preserve">15 (R-16)</t>
  </si>
  <si>
    <t xml:space="preserve">2</t>
  </si>
  <si>
    <t xml:space="preserve">6 (R-08, R-12, R-17)</t>
  </si>
  <si>
    <t xml:space="preserve">8 (R-10, R-13)</t>
  </si>
  <si>
    <t xml:space="preserve">1</t>
  </si>
  <si>
    <t xml:space="preserve">Bảng 6.4. Kế hoạch xử lý 5 rủi ro có mức độ cao nhất</t>
  </si>
  <si>
    <t xml:space="preserve">Ưu tiên xử lý theo điểm rủi ro cao nhất trong Risk Register (Bảng 6.2)</t>
  </si>
  <si>
    <t xml:space="preserve">Rủi ro</t>
  </si>
  <si>
    <t xml:space="preserve">Biện pháp giảm thiểu</t>
  </si>
  <si>
    <t xml:space="preserve">Rủi ro còn lại (dự kiến)</t>
  </si>
  <si>
    <t xml:space="preserve">Gateway không cập nhật firmware định kỳ</t>
  </si>
  <si>
    <t xml:space="preserve">Thiết lập lịch cập nhật firmware định kỳ; đăng ký nhận cảnh báo bảo mật (security advisory) từ nhà sản xuất; kiểm thử firmware trước khi triển khai.</t>
  </si>
  <si>
    <t xml:space="preserve">Cao → Trung bình</t>
  </si>
  <si>
    <t xml:space="preserve">Tài khoản quản trị dùng mật khẩu yếu, không có MFA</t>
  </si>
  <si>
    <t xml:space="preserve">Áp dụng chính sách mật khẩu mạnh, bắt buộc xác thực đa yếu tố (MFA); khóa tài khoản sau nhiều lần đăng nhập sai.</t>
  </si>
  <si>
    <t xml:space="preserve">Cao → Thấp</t>
  </si>
  <si>
    <t xml:space="preserve">Khóa cửa thông minh bị mở khóa trái phép (replay attack)</t>
  </si>
  <si>
    <t xml:space="preserve">Áp dụng mã hóa và cơ chế chống lặp lại tín hiệu (rolling code); giới hạn khoảng cách kết nối; cảnh báo khi có yêu cầu mở khóa bất thường.</t>
  </si>
  <si>
    <t xml:space="preserve">Trung bình → Thấp</t>
  </si>
  <si>
    <t xml:space="preserve">Camera IP sử dụng mật khẩu mặc định</t>
  </si>
  <si>
    <t xml:space="preserve">Bắt buộc đổi mật khẩu mặc định khi cài đặt; vô hiệu hóa tài khoản mặc định; đặt thiết bị trong VLAN riêng.</t>
  </si>
  <si>
    <t xml:space="preserve">Firmware thiết bị lỗi thời chứa CVE đã công bố</t>
  </si>
  <si>
    <t xml:space="preserve">Thay thế thiết bị không còn được hỗ trợ; quét lỗ hổng định kỳ; vá lỗi ngay khi có bản cập nhật.</t>
  </si>
  <si>
    <t xml:space="preserve">Bảng 6.5. Checklist kiểm tra bảo mật định kỳ</t>
  </si>
  <si>
    <t xml:space="preserve">Đánh dấu X vào cột Đã kiểm tra khi hoàn thành hạng mục theo tần suất quy định</t>
  </si>
  <si>
    <t xml:space="preserve">Nhóm</t>
  </si>
  <si>
    <t xml:space="preserve">Hạng mục kiểm tra</t>
  </si>
  <si>
    <t xml:space="preserve">Tần suất</t>
  </si>
  <si>
    <t xml:space="preserve">Đã kiểm tra (X)</t>
  </si>
  <si>
    <t xml:space="preserve">Kiểm tra thiết bị còn dùng mật khẩu mặc định</t>
  </si>
  <si>
    <t xml:space="preserve">Hàng tháng</t>
  </si>
  <si>
    <t xml:space="preserve">Kiểm tra phiên bản firmware, cập nhật bản vá mới nhất</t>
  </si>
  <si>
    <t xml:space="preserve">Kiểm tra khóa cửa thông minh, không có dấu hiệu can thiệp tín hiệu</t>
  </si>
  <si>
    <t xml:space="preserve">Hàng tuần</t>
  </si>
  <si>
    <t xml:space="preserve">Kiểm tra cảm biến PIR hoạt động bình thường (heartbeat)</t>
  </si>
  <si>
    <t xml:space="preserve">Kiểm tra cấu hình xác thực, phân quyền trên gateway</t>
  </si>
  <si>
    <t xml:space="preserve">Kiểm tra log truy cập gateway, phát hiện bất thường</t>
  </si>
  <si>
    <t xml:space="preserve">Mạng truyền thông</t>
  </si>
  <si>
    <t xml:space="preserve">Kiểm tra dữ liệu truyền có mã hóa TLS/HTTPS</t>
  </si>
  <si>
    <t xml:space="preserve">Hàng quý</t>
  </si>
  <si>
    <t xml:space="preserve">Kiểm tra phân đoạn mạng (VLAN)</t>
  </si>
  <si>
    <t xml:space="preserve">Máy chủ / CSDL</t>
  </si>
  <si>
    <t xml:space="preserve">Kiểm tra bản sao lưu dữ liệu gần nhất</t>
  </si>
  <si>
    <t xml:space="preserve">Kiểm tra vá lỗi hệ điều hành, phần mềm máy chủ</t>
  </si>
  <si>
    <t xml:space="preserve">Tài khoản &amp; truy cập</t>
  </si>
  <si>
    <t xml:space="preserve">Kiểm tra chính sách mật khẩu và MFA</t>
  </si>
  <si>
    <t xml:space="preserve">Kiểm tra giới hạn truy cập từ xa (VPN, IP allowlist)</t>
  </si>
  <si>
    <t xml:space="preserve">Kiểm thử lỗ hổng ứng dụng web (XSS, SQLi)</t>
  </si>
  <si>
    <t xml:space="preserve">Giám sát &amp; ứng phó</t>
  </si>
  <si>
    <t xml:space="preserve">Kiểm tra hệ thống log/cảnh báo hoạt động bình thường</t>
  </si>
  <si>
    <t xml:space="preserve">Con người</t>
  </si>
  <si>
    <t xml:space="preserve">Đào tạo nhận thức an toàn thông tin</t>
  </si>
  <si>
    <t xml:space="preserve">6 tháng/lần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</si>
</sst>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00000"/>
        <bgColor rgb="FF800000"/>
      </patternFill>
    </fill>
    <fill>
      <patternFill patternType="solid">
        <fgColor rgb="FFE36C09"/>
        <bgColor rgb="FFFF9900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B7B7B7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00000"/>
        </patternFill>
      </fill>
    </dxf>
    <dxf>
      <fill>
        <patternFill>
          <bgColor rgb="FFE36C0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2D050"/>
      <rgbColor rgb="FFFFC000"/>
      <rgbColor rgb="FFFF9900"/>
      <rgbColor rgb="FFE36C09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32"/>
  </cols>
  <sheetData>
    <row r="1" customFormat="false" ht="21.75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</row>
    <row r="4" customFormat="false" ht="15" hidden="false" customHeight="false" outlineLevel="0" collapsed="false">
      <c r="A4" s="4" t="s">
        <v>6</v>
      </c>
      <c r="B4" s="4" t="s">
        <v>7</v>
      </c>
      <c r="C4" s="5" t="n">
        <v>3</v>
      </c>
      <c r="D4" s="4" t="s">
        <v>8</v>
      </c>
    </row>
    <row r="5" customFormat="false" ht="15" hidden="false" customHeight="false" outlineLevel="0" collapsed="false">
      <c r="A5" s="4" t="s">
        <v>9</v>
      </c>
      <c r="B5" s="4" t="s">
        <v>7</v>
      </c>
      <c r="C5" s="5" t="n">
        <v>4</v>
      </c>
      <c r="D5" s="4" t="s">
        <v>8</v>
      </c>
    </row>
    <row r="6" customFormat="false" ht="15" hidden="false" customHeight="false" outlineLevel="0" collapsed="false">
      <c r="A6" s="4" t="s">
        <v>10</v>
      </c>
      <c r="B6" s="4" t="s">
        <v>7</v>
      </c>
      <c r="C6" s="5" t="n">
        <v>3</v>
      </c>
      <c r="D6" s="4" t="s">
        <v>8</v>
      </c>
    </row>
    <row r="7" customFormat="false" ht="15" hidden="false" customHeight="false" outlineLevel="0" collapsed="false">
      <c r="A7" s="4" t="s">
        <v>11</v>
      </c>
      <c r="B7" s="4" t="s">
        <v>7</v>
      </c>
      <c r="C7" s="5" t="n">
        <v>5</v>
      </c>
      <c r="D7" s="4" t="s">
        <v>8</v>
      </c>
    </row>
    <row r="8" customFormat="false" ht="15" hidden="false" customHeight="false" outlineLevel="0" collapsed="false">
      <c r="A8" s="4" t="s">
        <v>12</v>
      </c>
      <c r="B8" s="4" t="s">
        <v>13</v>
      </c>
      <c r="C8" s="5" t="n">
        <v>5</v>
      </c>
      <c r="D8" s="4" t="s">
        <v>14</v>
      </c>
    </row>
    <row r="9" customFormat="false" ht="15" hidden="false" customHeight="false" outlineLevel="0" collapsed="false">
      <c r="A9" s="4" t="s">
        <v>15</v>
      </c>
      <c r="B9" s="4" t="s">
        <v>16</v>
      </c>
      <c r="C9" s="5" t="n">
        <v>4</v>
      </c>
      <c r="D9" s="4" t="s">
        <v>17</v>
      </c>
    </row>
    <row r="10" customFormat="false" ht="15" hidden="false" customHeight="false" outlineLevel="0" collapsed="false">
      <c r="A10" s="4" t="s">
        <v>18</v>
      </c>
      <c r="B10" s="4" t="s">
        <v>19</v>
      </c>
      <c r="C10" s="5" t="n">
        <v>3</v>
      </c>
      <c r="D10" s="4" t="s">
        <v>20</v>
      </c>
    </row>
    <row r="11" customFormat="false" ht="15" hidden="false" customHeight="false" outlineLevel="0" collapsed="false">
      <c r="A11" s="4" t="s">
        <v>21</v>
      </c>
      <c r="B11" s="4" t="s">
        <v>22</v>
      </c>
      <c r="C11" s="5" t="n">
        <v>5</v>
      </c>
      <c r="D11" s="4" t="s">
        <v>23</v>
      </c>
    </row>
    <row r="12" customFormat="false" ht="15" hidden="false" customHeight="false" outlineLevel="0" collapsed="false">
      <c r="A12" s="4" t="s">
        <v>24</v>
      </c>
      <c r="B12" s="4" t="s">
        <v>25</v>
      </c>
      <c r="C12" s="5" t="n">
        <v>5</v>
      </c>
      <c r="D12" s="4" t="s">
        <v>26</v>
      </c>
    </row>
    <row r="13" customFormat="false" ht="15" hidden="false" customHeight="false" outlineLevel="0" collapsed="false">
      <c r="A13" s="4" t="s">
        <v>27</v>
      </c>
      <c r="B13" s="4" t="s">
        <v>28</v>
      </c>
      <c r="C13" s="5" t="n">
        <v>5</v>
      </c>
      <c r="D13" s="4" t="s">
        <v>26</v>
      </c>
    </row>
    <row r="14" customFormat="false" ht="15" hidden="false" customHeight="false" outlineLevel="0" collapsed="false">
      <c r="A14" s="4" t="s">
        <v>29</v>
      </c>
      <c r="B14" s="4" t="s">
        <v>30</v>
      </c>
      <c r="C14" s="5" t="n">
        <v>4</v>
      </c>
      <c r="D14" s="4" t="s">
        <v>23</v>
      </c>
    </row>
    <row r="15" customFormat="false" ht="15" hidden="false" customHeight="false" outlineLevel="0" collapsed="false">
      <c r="A15" s="4" t="s">
        <v>31</v>
      </c>
      <c r="B15" s="4" t="s">
        <v>30</v>
      </c>
      <c r="C15" s="5" t="n">
        <v>4</v>
      </c>
      <c r="D15" s="4" t="s">
        <v>23</v>
      </c>
    </row>
    <row r="16" customFormat="false" ht="15" hidden="false" customHeight="false" outlineLevel="0" collapsed="false">
      <c r="A16" s="4" t="s">
        <v>32</v>
      </c>
      <c r="B16" s="4" t="s">
        <v>33</v>
      </c>
      <c r="C16" s="5" t="n">
        <v>5</v>
      </c>
      <c r="D16" s="4" t="s">
        <v>20</v>
      </c>
    </row>
    <row r="17" customFormat="false" ht="15" hidden="false" customHeight="false" outlineLevel="0" collapsed="false">
      <c r="A17" s="4" t="s">
        <v>34</v>
      </c>
      <c r="B17" s="4" t="s">
        <v>35</v>
      </c>
      <c r="C17" s="5" t="n">
        <v>4</v>
      </c>
      <c r="D17" s="4" t="s">
        <v>36</v>
      </c>
    </row>
    <row r="18" customFormat="false" ht="15" hidden="false" customHeight="false" outlineLevel="0" collapsed="false">
      <c r="A18" s="4" t="s">
        <v>37</v>
      </c>
      <c r="B18" s="4" t="s">
        <v>19</v>
      </c>
      <c r="C18" s="5" t="n">
        <v>3</v>
      </c>
      <c r="D18" s="4" t="s">
        <v>26</v>
      </c>
    </row>
    <row r="20" customFormat="false" ht="15" hidden="false" customHeight="false" outlineLevel="0" collapsed="false">
      <c r="A20" s="6" t="s">
        <v>38</v>
      </c>
      <c r="B20" s="6" t="n">
        <f aca="false">COUNTA(A4:A18)</f>
        <v>15</v>
      </c>
    </row>
    <row r="21" customFormat="false" ht="15" hidden="false" customHeight="false" outlineLevel="0" collapsed="false">
      <c r="A21" s="6" t="s">
        <v>39</v>
      </c>
      <c r="B21" s="6" t="n">
        <f aca="false">AVERAGE(C4:C18)</f>
        <v>4.13333333333333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6" min="5" style="0" width="6"/>
    <col collapsed="false" customWidth="true" hidden="false" outlineLevel="0" max="7" min="7" style="0" width="14"/>
    <col collapsed="false" customWidth="true" hidden="false" outlineLevel="0" max="8" min="8" style="0" width="16"/>
  </cols>
  <sheetData>
    <row r="1" customFormat="false" ht="21.75" hidden="false" customHeight="true" outlineLevel="0" collapsed="false">
      <c r="A1" s="1" t="s">
        <v>40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41</v>
      </c>
      <c r="B2" s="2"/>
      <c r="C2" s="2"/>
      <c r="D2" s="2"/>
      <c r="E2" s="2"/>
      <c r="F2" s="2"/>
      <c r="G2" s="2"/>
      <c r="H2" s="2"/>
    </row>
    <row r="3" customFormat="false" ht="26.85" hidden="false" customHeight="false" outlineLevel="0" collapsed="false">
      <c r="A3" s="3" t="s">
        <v>42</v>
      </c>
      <c r="B3" s="3" t="s">
        <v>2</v>
      </c>
      <c r="C3" s="3" t="s">
        <v>43</v>
      </c>
      <c r="D3" s="3" t="s">
        <v>44</v>
      </c>
      <c r="E3" s="3" t="s">
        <v>45</v>
      </c>
      <c r="F3" s="3" t="s">
        <v>46</v>
      </c>
      <c r="G3" s="3" t="s">
        <v>47</v>
      </c>
      <c r="H3" s="3" t="s">
        <v>48</v>
      </c>
    </row>
    <row r="4" customFormat="false" ht="23.85" hidden="false" customHeight="false" outlineLevel="0" collapsed="false">
      <c r="A4" s="5" t="s">
        <v>49</v>
      </c>
      <c r="B4" s="4" t="s">
        <v>9</v>
      </c>
      <c r="C4" s="4" t="s">
        <v>50</v>
      </c>
      <c r="D4" s="4" t="s">
        <v>51</v>
      </c>
      <c r="E4" s="5" t="n">
        <v>4</v>
      </c>
      <c r="F4" s="5" t="n">
        <v>4</v>
      </c>
      <c r="G4" s="5" t="n">
        <f aca="false">E4*F4</f>
        <v>16</v>
      </c>
      <c r="H4" s="5" t="str">
        <f aca="false">IF(G4&gt;=20,"Nghiêm trọng",IF(G4&gt;=15,"Rất cao",IF(G4&gt;=10,"Cao",IF(G4&gt;=5,"Trung bình","Thấp"))))</f>
        <v>Rất cao</v>
      </c>
    </row>
    <row r="5" customFormat="false" ht="23.85" hidden="false" customHeight="false" outlineLevel="0" collapsed="false">
      <c r="A5" s="5" t="s">
        <v>52</v>
      </c>
      <c r="B5" s="4" t="s">
        <v>53</v>
      </c>
      <c r="C5" s="4" t="s">
        <v>54</v>
      </c>
      <c r="D5" s="4" t="s">
        <v>55</v>
      </c>
      <c r="E5" s="5" t="n">
        <v>4</v>
      </c>
      <c r="F5" s="5" t="n">
        <v>5</v>
      </c>
      <c r="G5" s="5" t="n">
        <f aca="false">E5*F5</f>
        <v>20</v>
      </c>
      <c r="H5" s="5" t="str">
        <f aca="false">IF(G5&gt;=20,"Nghiêm trọng",IF(G5&gt;=15,"Rất cao",IF(G5&gt;=10,"Cao",IF(G5&gt;=5,"Trung bình","Thấp"))))</f>
        <v>Nghiêm trọng</v>
      </c>
    </row>
    <row r="6" customFormat="false" ht="23.85" hidden="false" customHeight="false" outlineLevel="0" collapsed="false">
      <c r="A6" s="5" t="s">
        <v>56</v>
      </c>
      <c r="B6" s="4" t="s">
        <v>18</v>
      </c>
      <c r="C6" s="4" t="s">
        <v>57</v>
      </c>
      <c r="D6" s="4" t="s">
        <v>58</v>
      </c>
      <c r="E6" s="5" t="n">
        <v>3</v>
      </c>
      <c r="F6" s="5" t="n">
        <v>3</v>
      </c>
      <c r="G6" s="5" t="n">
        <f aca="false">E6*F6</f>
        <v>9</v>
      </c>
      <c r="H6" s="5" t="str">
        <f aca="false">IF(G6&gt;=20,"Nghiêm trọng",IF(G6&gt;=15,"Rất cao",IF(G6&gt;=10,"Cao",IF(G6&gt;=5,"Trung bình","Thấp"))))</f>
        <v>Trung bình</v>
      </c>
    </row>
    <row r="7" customFormat="false" ht="15" hidden="false" customHeight="false" outlineLevel="0" collapsed="false">
      <c r="A7" s="5" t="s">
        <v>59</v>
      </c>
      <c r="B7" s="4" t="s">
        <v>21</v>
      </c>
      <c r="C7" s="4" t="s">
        <v>60</v>
      </c>
      <c r="D7" s="4" t="s">
        <v>61</v>
      </c>
      <c r="E7" s="5" t="n">
        <v>5</v>
      </c>
      <c r="F7" s="5" t="n">
        <v>4</v>
      </c>
      <c r="G7" s="5" t="n">
        <f aca="false">E7*F7</f>
        <v>20</v>
      </c>
      <c r="H7" s="5" t="str">
        <f aca="false">IF(G7&gt;=20,"Nghiêm trọng",IF(G7&gt;=15,"Rất cao",IF(G7&gt;=10,"Cao",IF(G7&gt;=5,"Trung bình","Thấp"))))</f>
        <v>Nghiêm trọng</v>
      </c>
    </row>
    <row r="8" customFormat="false" ht="23.85" hidden="false" customHeight="false" outlineLevel="0" collapsed="false">
      <c r="A8" s="5" t="s">
        <v>62</v>
      </c>
      <c r="B8" s="4" t="s">
        <v>27</v>
      </c>
      <c r="C8" s="4" t="s">
        <v>63</v>
      </c>
      <c r="D8" s="4" t="s">
        <v>64</v>
      </c>
      <c r="E8" s="5" t="n">
        <v>3</v>
      </c>
      <c r="F8" s="5" t="n">
        <v>4</v>
      </c>
      <c r="G8" s="5" t="n">
        <f aca="false">E8*F8</f>
        <v>12</v>
      </c>
      <c r="H8" s="5" t="str">
        <f aca="false">IF(G8&gt;=20,"Nghiêm trọng",IF(G8&gt;=15,"Rất cao",IF(G8&gt;=10,"Cao",IF(G8&gt;=5,"Trung bình","Thấp"))))</f>
        <v>Cao</v>
      </c>
    </row>
    <row r="9" customFormat="false" ht="23.85" hidden="false" customHeight="false" outlineLevel="0" collapsed="false">
      <c r="A9" s="5" t="s">
        <v>65</v>
      </c>
      <c r="B9" s="4" t="s">
        <v>15</v>
      </c>
      <c r="C9" s="4" t="s">
        <v>66</v>
      </c>
      <c r="D9" s="4" t="s">
        <v>67</v>
      </c>
      <c r="E9" s="5" t="n">
        <v>4</v>
      </c>
      <c r="F9" s="5" t="n">
        <v>4</v>
      </c>
      <c r="G9" s="5" t="n">
        <f aca="false">E9*F9</f>
        <v>16</v>
      </c>
      <c r="H9" s="5" t="str">
        <f aca="false">IF(G9&gt;=20,"Nghiêm trọng",IF(G9&gt;=15,"Rất cao",IF(G9&gt;=10,"Cao",IF(G9&gt;=5,"Trung bình","Thấp"))))</f>
        <v>Rất cao</v>
      </c>
    </row>
    <row r="10" customFormat="false" ht="23.85" hidden="false" customHeight="false" outlineLevel="0" collapsed="false">
      <c r="A10" s="5" t="s">
        <v>68</v>
      </c>
      <c r="B10" s="4" t="s">
        <v>69</v>
      </c>
      <c r="C10" s="4" t="s">
        <v>70</v>
      </c>
      <c r="D10" s="4" t="s">
        <v>71</v>
      </c>
      <c r="E10" s="5" t="n">
        <v>3</v>
      </c>
      <c r="F10" s="5" t="n">
        <v>3</v>
      </c>
      <c r="G10" s="5" t="n">
        <f aca="false">E10*F10</f>
        <v>9</v>
      </c>
      <c r="H10" s="5" t="str">
        <f aca="false">IF(G10&gt;=20,"Nghiêm trọng",IF(G10&gt;=15,"Rất cao",IF(G10&gt;=10,"Cao",IF(G10&gt;=5,"Trung bình","Thấp"))))</f>
        <v>Trung bình</v>
      </c>
    </row>
    <row r="11" customFormat="false" ht="23.85" hidden="false" customHeight="false" outlineLevel="0" collapsed="false">
      <c r="A11" s="5" t="s">
        <v>72</v>
      </c>
      <c r="B11" s="4" t="s">
        <v>73</v>
      </c>
      <c r="C11" s="4" t="s">
        <v>74</v>
      </c>
      <c r="D11" s="4" t="s">
        <v>75</v>
      </c>
      <c r="E11" s="5" t="n">
        <v>2</v>
      </c>
      <c r="F11" s="5" t="n">
        <v>3</v>
      </c>
      <c r="G11" s="5" t="n">
        <f aca="false">E11*F11</f>
        <v>6</v>
      </c>
      <c r="H11" s="5" t="str">
        <f aca="false">IF(G11&gt;=20,"Nghiêm trọng",IF(G11&gt;=15,"Rất cao",IF(G11&gt;=10,"Cao",IF(G11&gt;=5,"Trung bình","Thấp"))))</f>
        <v>Trung bình</v>
      </c>
    </row>
    <row r="12" customFormat="false" ht="23.85" hidden="false" customHeight="false" outlineLevel="0" collapsed="false">
      <c r="A12" s="5" t="s">
        <v>76</v>
      </c>
      <c r="B12" s="4" t="s">
        <v>37</v>
      </c>
      <c r="C12" s="4" t="s">
        <v>77</v>
      </c>
      <c r="D12" s="4" t="s">
        <v>78</v>
      </c>
      <c r="E12" s="5" t="n">
        <v>4</v>
      </c>
      <c r="F12" s="5" t="n">
        <v>3</v>
      </c>
      <c r="G12" s="5" t="n">
        <f aca="false">E12*F12</f>
        <v>12</v>
      </c>
      <c r="H12" s="5" t="str">
        <f aca="false">IF(G12&gt;=20,"Nghiêm trọng",IF(G12&gt;=15,"Rất cao",IF(G12&gt;=10,"Cao",IF(G12&gt;=5,"Trung bình","Thấp"))))</f>
        <v>Cao</v>
      </c>
    </row>
    <row r="13" customFormat="false" ht="23.85" hidden="false" customHeight="false" outlineLevel="0" collapsed="false">
      <c r="A13" s="5" t="s">
        <v>79</v>
      </c>
      <c r="B13" s="4" t="s">
        <v>80</v>
      </c>
      <c r="C13" s="4" t="s">
        <v>81</v>
      </c>
      <c r="D13" s="4" t="s">
        <v>82</v>
      </c>
      <c r="E13" s="5" t="n">
        <v>2</v>
      </c>
      <c r="F13" s="5" t="n">
        <v>4</v>
      </c>
      <c r="G13" s="5" t="n">
        <f aca="false">E13*F13</f>
        <v>8</v>
      </c>
      <c r="H13" s="5" t="str">
        <f aca="false">IF(G13&gt;=20,"Nghiêm trọng",IF(G13&gt;=15,"Rất cao",IF(G13&gt;=10,"Cao",IF(G13&gt;=5,"Trung bình","Thấp"))))</f>
        <v>Trung bình</v>
      </c>
    </row>
    <row r="14" customFormat="false" ht="23.85" hidden="false" customHeight="false" outlineLevel="0" collapsed="false">
      <c r="A14" s="5" t="s">
        <v>83</v>
      </c>
      <c r="B14" s="4" t="s">
        <v>84</v>
      </c>
      <c r="C14" s="4" t="s">
        <v>85</v>
      </c>
      <c r="D14" s="4" t="s">
        <v>86</v>
      </c>
      <c r="E14" s="5" t="n">
        <v>3</v>
      </c>
      <c r="F14" s="5" t="n">
        <v>4</v>
      </c>
      <c r="G14" s="5" t="n">
        <f aca="false">E14*F14</f>
        <v>12</v>
      </c>
      <c r="H14" s="5" t="str">
        <f aca="false">IF(G14&gt;=20,"Nghiêm trọng",IF(G14&gt;=15,"Rất cao",IF(G14&gt;=10,"Cao",IF(G14&gt;=5,"Trung bình","Thấp"))))</f>
        <v>Cao</v>
      </c>
    </row>
    <row r="15" customFormat="false" ht="23.85" hidden="false" customHeight="false" outlineLevel="0" collapsed="false">
      <c r="A15" s="5" t="s">
        <v>87</v>
      </c>
      <c r="B15" s="4" t="s">
        <v>88</v>
      </c>
      <c r="C15" s="4" t="s">
        <v>89</v>
      </c>
      <c r="D15" s="4" t="s">
        <v>90</v>
      </c>
      <c r="E15" s="5" t="n">
        <v>2</v>
      </c>
      <c r="F15" s="5" t="n">
        <v>3</v>
      </c>
      <c r="G15" s="5" t="n">
        <f aca="false">E15*F15</f>
        <v>6</v>
      </c>
      <c r="H15" s="5" t="str">
        <f aca="false">IF(G15&gt;=20,"Nghiêm trọng",IF(G15&gt;=15,"Rất cao",IF(G15&gt;=10,"Cao",IF(G15&gt;=5,"Trung bình","Thấp"))))</f>
        <v>Trung bình</v>
      </c>
    </row>
    <row r="16" customFormat="false" ht="23.85" hidden="false" customHeight="false" outlineLevel="0" collapsed="false">
      <c r="A16" s="5" t="s">
        <v>91</v>
      </c>
      <c r="B16" s="4" t="s">
        <v>92</v>
      </c>
      <c r="C16" s="4" t="s">
        <v>93</v>
      </c>
      <c r="D16" s="4" t="s">
        <v>94</v>
      </c>
      <c r="E16" s="5" t="n">
        <v>2</v>
      </c>
      <c r="F16" s="5" t="n">
        <v>4</v>
      </c>
      <c r="G16" s="5" t="n">
        <f aca="false">E16*F16</f>
        <v>8</v>
      </c>
      <c r="H16" s="5" t="str">
        <f aca="false">IF(G16&gt;=20,"Nghiêm trọng",IF(G16&gt;=15,"Rất cao",IF(G16&gt;=10,"Cao",IF(G16&gt;=5,"Trung bình","Thấp"))))</f>
        <v>Trung bình</v>
      </c>
    </row>
    <row r="17" customFormat="false" ht="23.85" hidden="false" customHeight="false" outlineLevel="0" collapsed="false">
      <c r="A17" s="5" t="s">
        <v>95</v>
      </c>
      <c r="B17" s="4" t="s">
        <v>96</v>
      </c>
      <c r="C17" s="4" t="s">
        <v>97</v>
      </c>
      <c r="D17" s="4" t="s">
        <v>98</v>
      </c>
      <c r="E17" s="5" t="n">
        <v>4</v>
      </c>
      <c r="F17" s="5" t="n">
        <v>4</v>
      </c>
      <c r="G17" s="5" t="n">
        <f aca="false">E17*F17</f>
        <v>16</v>
      </c>
      <c r="H17" s="5" t="str">
        <f aca="false">IF(G17&gt;=20,"Nghiêm trọng",IF(G17&gt;=15,"Rất cao",IF(G17&gt;=10,"Cao",IF(G17&gt;=5,"Trung bình","Thấp"))))</f>
        <v>Rất cao</v>
      </c>
    </row>
    <row r="18" customFormat="false" ht="23.85" hidden="false" customHeight="false" outlineLevel="0" collapsed="false">
      <c r="A18" s="5" t="s">
        <v>99</v>
      </c>
      <c r="B18" s="4" t="s">
        <v>100</v>
      </c>
      <c r="C18" s="4" t="s">
        <v>101</v>
      </c>
      <c r="D18" s="4" t="s">
        <v>102</v>
      </c>
      <c r="E18" s="5" t="n">
        <v>4</v>
      </c>
      <c r="F18" s="5" t="n">
        <v>3</v>
      </c>
      <c r="G18" s="5" t="n">
        <f aca="false">E18*F18</f>
        <v>12</v>
      </c>
      <c r="H18" s="5" t="str">
        <f aca="false">IF(G18&gt;=20,"Nghiêm trọng",IF(G18&gt;=15,"Rất cao",IF(G18&gt;=10,"Cao",IF(G18&gt;=5,"Trung bình","Thấp"))))</f>
        <v>Cao</v>
      </c>
    </row>
    <row r="19" customFormat="false" ht="23.85" hidden="false" customHeight="false" outlineLevel="0" collapsed="false">
      <c r="A19" s="5" t="s">
        <v>103</v>
      </c>
      <c r="B19" s="4" t="s">
        <v>11</v>
      </c>
      <c r="C19" s="4" t="s">
        <v>104</v>
      </c>
      <c r="D19" s="4" t="s">
        <v>105</v>
      </c>
      <c r="E19" s="5" t="n">
        <v>3</v>
      </c>
      <c r="F19" s="5" t="n">
        <v>5</v>
      </c>
      <c r="G19" s="5" t="n">
        <f aca="false">E19*F19</f>
        <v>15</v>
      </c>
      <c r="H19" s="5" t="str">
        <f aca="false">IF(G19&gt;=20,"Nghiêm trọng",IF(G19&gt;=15,"Rất cao",IF(G19&gt;=10,"Cao",IF(G19&gt;=5,"Trung bình","Thấp"))))</f>
        <v>Rất cao</v>
      </c>
    </row>
    <row r="20" customFormat="false" ht="23.85" hidden="false" customHeight="false" outlineLevel="0" collapsed="false">
      <c r="A20" s="5" t="s">
        <v>106</v>
      </c>
      <c r="B20" s="4" t="s">
        <v>10</v>
      </c>
      <c r="C20" s="4" t="s">
        <v>107</v>
      </c>
      <c r="D20" s="4" t="s">
        <v>108</v>
      </c>
      <c r="E20" s="5" t="n">
        <v>2</v>
      </c>
      <c r="F20" s="5" t="n">
        <v>3</v>
      </c>
      <c r="G20" s="5" t="n">
        <f aca="false">E20*F20</f>
        <v>6</v>
      </c>
      <c r="H20" s="5" t="str">
        <f aca="false">IF(G20&gt;=20,"Nghiêm trọng",IF(G20&gt;=15,"Rất cao",IF(G20&gt;=10,"Cao",IF(G20&gt;=5,"Trung bình","Thấp"))))</f>
        <v>Trung bình</v>
      </c>
    </row>
    <row r="22" customFormat="false" ht="15" hidden="false" customHeight="false" outlineLevel="0" collapsed="false">
      <c r="A22" s="6" t="s">
        <v>109</v>
      </c>
    </row>
    <row r="23" customFormat="false" ht="15" hidden="false" customHeight="false" outlineLevel="0" collapsed="false">
      <c r="A23" s="7" t="s">
        <v>110</v>
      </c>
      <c r="B23" s="8" t="n">
        <f aca="false">COUNTIF(H4:H20,"Nghiêm trọng")</f>
        <v>2</v>
      </c>
    </row>
    <row r="24" customFormat="false" ht="15" hidden="false" customHeight="false" outlineLevel="0" collapsed="false">
      <c r="A24" s="9" t="s">
        <v>111</v>
      </c>
      <c r="B24" s="8" t="n">
        <f aca="false">COUNTIF(H4:H20,"Rất cao")</f>
        <v>4</v>
      </c>
    </row>
    <row r="25" customFormat="false" ht="15" hidden="false" customHeight="false" outlineLevel="0" collapsed="false">
      <c r="A25" s="10" t="s">
        <v>112</v>
      </c>
      <c r="B25" s="8" t="n">
        <f aca="false">COUNTIF(H4:H20,"Cao")</f>
        <v>4</v>
      </c>
    </row>
    <row r="26" customFormat="false" ht="15" hidden="false" customHeight="false" outlineLevel="0" collapsed="false">
      <c r="A26" s="11" t="s">
        <v>113</v>
      </c>
      <c r="B26" s="8" t="n">
        <f aca="false">COUNTIF(H4:H20,"Trung bình")</f>
        <v>7</v>
      </c>
    </row>
    <row r="27" customFormat="false" ht="15" hidden="false" customHeight="false" outlineLevel="0" collapsed="false">
      <c r="A27" s="12" t="s">
        <v>114</v>
      </c>
      <c r="B27" s="8" t="n">
        <f aca="false">COUNTIF(H4:H20,"Thấp")</f>
        <v>0</v>
      </c>
    </row>
    <row r="28" customFormat="false" ht="15" hidden="false" customHeight="false" outlineLevel="0" collapsed="false">
      <c r="A28" s="6" t="s">
        <v>115</v>
      </c>
      <c r="B28" s="6" t="n">
        <f aca="false">COUNTA(A4:A20)</f>
        <v>17</v>
      </c>
    </row>
  </sheetData>
  <mergeCells count="2">
    <mergeCell ref="A1:H1"/>
    <mergeCell ref="A2:H2"/>
  </mergeCells>
  <conditionalFormatting sqref="H4:H20">
    <cfRule type="cellIs" priority="2" operator="equal" aboveAverage="0" equalAverage="0" bottom="0" percent="0" rank="0" text="" dxfId="0">
      <formula>"Nghiêm trọng"</formula>
    </cfRule>
    <cfRule type="cellIs" priority="3" operator="equal" aboveAverage="0" equalAverage="0" bottom="0" percent="0" rank="0" text="" dxfId="1">
      <formula>"Rất cao"</formula>
    </cfRule>
    <cfRule type="cellIs" priority="4" operator="equal" aboveAverage="0" equalAverage="0" bottom="0" percent="0" rank="0" text="" dxfId="2">
      <formula>"Cao"</formula>
    </cfRule>
    <cfRule type="cellIs" priority="5" operator="equal" aboveAverage="0" equalAverage="0" bottom="0" percent="0" rank="0" text="" dxfId="3">
      <formula>"Trung bình"</formula>
    </cfRule>
    <cfRule type="cellIs" priority="6" operator="equal" aboveAverage="0" equalAverage="0" bottom="0" percent="0" rank="0" text="" dxfId="4">
      <formula>"Thấp"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2"/>
  </cols>
  <sheetData>
    <row r="1" customFormat="false" ht="21.75" hidden="false" customHeight="true" outlineLevel="0" collapsed="false">
      <c r="A1" s="13" t="s">
        <v>116</v>
      </c>
      <c r="B1" s="13"/>
      <c r="C1" s="13"/>
      <c r="D1" s="13"/>
      <c r="E1" s="13"/>
      <c r="F1" s="13"/>
    </row>
    <row r="2" customFormat="false" ht="15" hidden="false" customHeight="false" outlineLevel="0" collapsed="false">
      <c r="A2" s="2" t="s">
        <v>117</v>
      </c>
      <c r="B2" s="2"/>
      <c r="C2" s="2"/>
      <c r="D2" s="2"/>
      <c r="E2" s="2"/>
      <c r="F2" s="2"/>
    </row>
    <row r="3" customFormat="false" ht="26.85" hidden="false" customHeight="false" outlineLevel="0" collapsed="false">
      <c r="A3" s="3" t="s">
        <v>118</v>
      </c>
      <c r="B3" s="3" t="n">
        <v>1</v>
      </c>
      <c r="C3" s="3" t="n">
        <v>2</v>
      </c>
      <c r="D3" s="3" t="n">
        <v>3</v>
      </c>
      <c r="E3" s="3" t="n">
        <v>4</v>
      </c>
      <c r="F3" s="3" t="n">
        <v>5</v>
      </c>
    </row>
    <row r="4" customFormat="false" ht="15" hidden="false" customHeight="false" outlineLevel="0" collapsed="false">
      <c r="A4" s="14" t="n">
        <v>5</v>
      </c>
      <c r="B4" s="15" t="s">
        <v>119</v>
      </c>
      <c r="C4" s="16" t="s">
        <v>120</v>
      </c>
      <c r="D4" s="17" t="s">
        <v>121</v>
      </c>
      <c r="E4" s="18" t="s">
        <v>122</v>
      </c>
      <c r="F4" s="18" t="s">
        <v>123</v>
      </c>
    </row>
    <row r="5" customFormat="false" ht="15" hidden="false" customHeight="false" outlineLevel="0" collapsed="false">
      <c r="A5" s="14" t="n">
        <v>4</v>
      </c>
      <c r="B5" s="19" t="s">
        <v>124</v>
      </c>
      <c r="C5" s="15" t="s">
        <v>125</v>
      </c>
      <c r="D5" s="16" t="s">
        <v>126</v>
      </c>
      <c r="E5" s="17" t="s">
        <v>127</v>
      </c>
      <c r="F5" s="18" t="s">
        <v>128</v>
      </c>
    </row>
    <row r="6" customFormat="false" ht="15" hidden="false" customHeight="false" outlineLevel="0" collapsed="false">
      <c r="A6" s="14" t="n">
        <v>3</v>
      </c>
      <c r="B6" s="19" t="s">
        <v>129</v>
      </c>
      <c r="C6" s="15" t="s">
        <v>130</v>
      </c>
      <c r="D6" s="15" t="s">
        <v>131</v>
      </c>
      <c r="E6" s="16" t="s">
        <v>132</v>
      </c>
      <c r="F6" s="17" t="s">
        <v>133</v>
      </c>
    </row>
    <row r="7" customFormat="false" ht="23.85" hidden="false" customHeight="false" outlineLevel="0" collapsed="false">
      <c r="A7" s="14" t="n">
        <v>2</v>
      </c>
      <c r="B7" s="19" t="s">
        <v>134</v>
      </c>
      <c r="C7" s="19" t="s">
        <v>124</v>
      </c>
      <c r="D7" s="15" t="s">
        <v>135</v>
      </c>
      <c r="E7" s="15" t="s">
        <v>136</v>
      </c>
      <c r="F7" s="16" t="s">
        <v>120</v>
      </c>
    </row>
    <row r="8" customFormat="false" ht="15" hidden="false" customHeight="false" outlineLevel="0" collapsed="false">
      <c r="A8" s="14" t="n">
        <v>1</v>
      </c>
      <c r="B8" s="19" t="s">
        <v>137</v>
      </c>
      <c r="C8" s="19" t="s">
        <v>134</v>
      </c>
      <c r="D8" s="19" t="s">
        <v>129</v>
      </c>
      <c r="E8" s="19" t="s">
        <v>124</v>
      </c>
      <c r="F8" s="15" t="s">
        <v>119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50"/>
    <col collapsed="false" customWidth="true" hidden="false" outlineLevel="0" max="5" min="5" style="0" width="20"/>
  </cols>
  <sheetData>
    <row r="1" customFormat="false" ht="21.75" hidden="false" customHeight="true" outlineLevel="0" collapsed="false">
      <c r="A1" s="13" t="s">
        <v>138</v>
      </c>
      <c r="B1" s="13"/>
      <c r="C1" s="13"/>
      <c r="D1" s="13"/>
      <c r="E1" s="13"/>
    </row>
    <row r="2" customFormat="false" ht="15" hidden="false" customHeight="false" outlineLevel="0" collapsed="false">
      <c r="A2" s="2" t="s">
        <v>139</v>
      </c>
      <c r="B2" s="2"/>
      <c r="C2" s="2"/>
      <c r="D2" s="2"/>
      <c r="E2" s="2"/>
    </row>
    <row r="3" customFormat="false" ht="26.85" hidden="false" customHeight="false" outlineLevel="0" collapsed="false">
      <c r="A3" s="3" t="s">
        <v>42</v>
      </c>
      <c r="B3" s="3" t="s">
        <v>140</v>
      </c>
      <c r="C3" s="3" t="s">
        <v>48</v>
      </c>
      <c r="D3" s="3" t="s">
        <v>141</v>
      </c>
      <c r="E3" s="3" t="s">
        <v>142</v>
      </c>
    </row>
    <row r="4" customFormat="false" ht="45" hidden="false" customHeight="true" outlineLevel="0" collapsed="false">
      <c r="A4" s="4" t="s">
        <v>52</v>
      </c>
      <c r="B4" s="4" t="s">
        <v>143</v>
      </c>
      <c r="C4" s="20" t="s">
        <v>110</v>
      </c>
      <c r="D4" s="4" t="s">
        <v>144</v>
      </c>
      <c r="E4" s="4" t="s">
        <v>145</v>
      </c>
    </row>
    <row r="5" customFormat="false" ht="45" hidden="false" customHeight="true" outlineLevel="0" collapsed="false">
      <c r="A5" s="4" t="s">
        <v>59</v>
      </c>
      <c r="B5" s="4" t="s">
        <v>146</v>
      </c>
      <c r="C5" s="20" t="s">
        <v>110</v>
      </c>
      <c r="D5" s="4" t="s">
        <v>147</v>
      </c>
      <c r="E5" s="4" t="s">
        <v>148</v>
      </c>
    </row>
    <row r="6" customFormat="false" ht="45" hidden="false" customHeight="true" outlineLevel="0" collapsed="false">
      <c r="A6" s="4" t="s">
        <v>103</v>
      </c>
      <c r="B6" s="4" t="s">
        <v>149</v>
      </c>
      <c r="C6" s="21" t="s">
        <v>111</v>
      </c>
      <c r="D6" s="4" t="s">
        <v>150</v>
      </c>
      <c r="E6" s="4" t="s">
        <v>151</v>
      </c>
    </row>
    <row r="7" customFormat="false" ht="45" hidden="false" customHeight="true" outlineLevel="0" collapsed="false">
      <c r="A7" s="4" t="s">
        <v>49</v>
      </c>
      <c r="B7" s="4" t="s">
        <v>152</v>
      </c>
      <c r="C7" s="21" t="s">
        <v>111</v>
      </c>
      <c r="D7" s="4" t="s">
        <v>153</v>
      </c>
      <c r="E7" s="4" t="s">
        <v>151</v>
      </c>
    </row>
    <row r="8" customFormat="false" ht="45" hidden="false" customHeight="true" outlineLevel="0" collapsed="false">
      <c r="A8" s="4" t="s">
        <v>65</v>
      </c>
      <c r="B8" s="4" t="s">
        <v>154</v>
      </c>
      <c r="C8" s="21" t="s">
        <v>111</v>
      </c>
      <c r="D8" s="4" t="s">
        <v>155</v>
      </c>
      <c r="E8" s="4" t="s">
        <v>151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21.75" hidden="false" customHeight="true" outlineLevel="0" collapsed="false">
      <c r="A1" s="13" t="s">
        <v>156</v>
      </c>
      <c r="B1" s="13"/>
      <c r="C1" s="13"/>
      <c r="D1" s="13"/>
    </row>
    <row r="2" customFormat="false" ht="15" hidden="false" customHeight="false" outlineLevel="0" collapsed="false">
      <c r="A2" s="2" t="s">
        <v>157</v>
      </c>
      <c r="B2" s="2"/>
      <c r="C2" s="2"/>
      <c r="D2" s="2"/>
    </row>
    <row r="3" customFormat="false" ht="15" hidden="false" customHeight="false" outlineLevel="0" collapsed="false">
      <c r="A3" s="3" t="s">
        <v>158</v>
      </c>
      <c r="B3" s="3" t="s">
        <v>159</v>
      </c>
      <c r="C3" s="3" t="s">
        <v>160</v>
      </c>
      <c r="D3" s="3" t="s">
        <v>161</v>
      </c>
    </row>
    <row r="4" customFormat="false" ht="15" hidden="false" customHeight="false" outlineLevel="0" collapsed="false">
      <c r="A4" s="5" t="s">
        <v>7</v>
      </c>
      <c r="B4" s="4" t="s">
        <v>162</v>
      </c>
      <c r="C4" s="22" t="s">
        <v>163</v>
      </c>
      <c r="D4" s="23"/>
    </row>
    <row r="5" customFormat="false" ht="15" hidden="false" customHeight="false" outlineLevel="0" collapsed="false">
      <c r="A5" s="5" t="s">
        <v>7</v>
      </c>
      <c r="B5" s="4" t="s">
        <v>164</v>
      </c>
      <c r="C5" s="22" t="s">
        <v>163</v>
      </c>
      <c r="D5" s="23"/>
    </row>
    <row r="6" customFormat="false" ht="23.85" hidden="false" customHeight="false" outlineLevel="0" collapsed="false">
      <c r="A6" s="5" t="s">
        <v>7</v>
      </c>
      <c r="B6" s="4" t="s">
        <v>165</v>
      </c>
      <c r="C6" s="24" t="s">
        <v>166</v>
      </c>
      <c r="D6" s="23"/>
    </row>
    <row r="7" customFormat="false" ht="23.85" hidden="false" customHeight="false" outlineLevel="0" collapsed="false">
      <c r="A7" s="5" t="s">
        <v>7</v>
      </c>
      <c r="B7" s="4" t="s">
        <v>167</v>
      </c>
      <c r="C7" s="24" t="s">
        <v>166</v>
      </c>
      <c r="D7" s="23"/>
    </row>
    <row r="8" customFormat="false" ht="15" hidden="false" customHeight="false" outlineLevel="0" collapsed="false">
      <c r="A8" s="5" t="s">
        <v>53</v>
      </c>
      <c r="B8" s="4" t="s">
        <v>168</v>
      </c>
      <c r="C8" s="22" t="s">
        <v>163</v>
      </c>
      <c r="D8" s="23"/>
    </row>
    <row r="9" customFormat="false" ht="15" hidden="false" customHeight="false" outlineLevel="0" collapsed="false">
      <c r="A9" s="5" t="s">
        <v>53</v>
      </c>
      <c r="B9" s="4" t="s">
        <v>169</v>
      </c>
      <c r="C9" s="24" t="s">
        <v>166</v>
      </c>
      <c r="D9" s="23"/>
    </row>
    <row r="10" customFormat="false" ht="15" hidden="false" customHeight="false" outlineLevel="0" collapsed="false">
      <c r="A10" s="5" t="s">
        <v>170</v>
      </c>
      <c r="B10" s="4" t="s">
        <v>171</v>
      </c>
      <c r="C10" s="25" t="s">
        <v>172</v>
      </c>
      <c r="D10" s="23"/>
    </row>
    <row r="11" customFormat="false" ht="15" hidden="false" customHeight="false" outlineLevel="0" collapsed="false">
      <c r="A11" s="5" t="s">
        <v>170</v>
      </c>
      <c r="B11" s="4" t="s">
        <v>173</v>
      </c>
      <c r="C11" s="25" t="s">
        <v>172</v>
      </c>
      <c r="D11" s="23"/>
    </row>
    <row r="12" customFormat="false" ht="15" hidden="false" customHeight="false" outlineLevel="0" collapsed="false">
      <c r="A12" s="5" t="s">
        <v>174</v>
      </c>
      <c r="B12" s="4" t="s">
        <v>175</v>
      </c>
      <c r="C12" s="24" t="s">
        <v>166</v>
      </c>
      <c r="D12" s="23"/>
    </row>
    <row r="13" customFormat="false" ht="15" hidden="false" customHeight="false" outlineLevel="0" collapsed="false">
      <c r="A13" s="5" t="s">
        <v>174</v>
      </c>
      <c r="B13" s="4" t="s">
        <v>176</v>
      </c>
      <c r="C13" s="22" t="s">
        <v>163</v>
      </c>
      <c r="D13" s="23"/>
    </row>
    <row r="14" customFormat="false" ht="15" hidden="false" customHeight="false" outlineLevel="0" collapsed="false">
      <c r="A14" s="5" t="s">
        <v>177</v>
      </c>
      <c r="B14" s="4" t="s">
        <v>178</v>
      </c>
      <c r="C14" s="25" t="s">
        <v>172</v>
      </c>
      <c r="D14" s="23"/>
    </row>
    <row r="15" customFormat="false" ht="15" hidden="false" customHeight="false" outlineLevel="0" collapsed="false">
      <c r="A15" s="5" t="s">
        <v>177</v>
      </c>
      <c r="B15" s="4" t="s">
        <v>179</v>
      </c>
      <c r="C15" s="25" t="s">
        <v>172</v>
      </c>
      <c r="D15" s="23"/>
    </row>
    <row r="16" customFormat="false" ht="15" hidden="false" customHeight="false" outlineLevel="0" collapsed="false">
      <c r="A16" s="5" t="s">
        <v>84</v>
      </c>
      <c r="B16" s="4" t="s">
        <v>180</v>
      </c>
      <c r="C16" s="25" t="s">
        <v>172</v>
      </c>
      <c r="D16" s="23"/>
    </row>
    <row r="17" customFormat="false" ht="15" hidden="false" customHeight="false" outlineLevel="0" collapsed="false">
      <c r="A17" s="5" t="s">
        <v>181</v>
      </c>
      <c r="B17" s="4" t="s">
        <v>182</v>
      </c>
      <c r="C17" s="24" t="s">
        <v>166</v>
      </c>
      <c r="D17" s="23"/>
    </row>
    <row r="18" customFormat="false" ht="15" hidden="false" customHeight="false" outlineLevel="0" collapsed="false">
      <c r="A18" s="5" t="s">
        <v>183</v>
      </c>
      <c r="B18" s="4" t="s">
        <v>184</v>
      </c>
      <c r="C18" s="26" t="s">
        <v>185</v>
      </c>
      <c r="D18" s="23"/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2026-07-24T01:24:42Z</dcterms:created>
  <dc:creator>openpyxl</dc:creator>
  <dc:description/>
  <dc:language>en-US</dc:language>
  <cp:lastModifiedBy/>
  <dcterms:modified xsi:type="dcterms:W3CDTF">2026-07-24T01:25:35Z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