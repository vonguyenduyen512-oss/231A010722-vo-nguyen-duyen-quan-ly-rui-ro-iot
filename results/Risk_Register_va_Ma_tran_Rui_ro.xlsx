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5.1_DanhMucTaiSan" sheetId="1" state="visible" r:id="rId1"/>
    <sheet xmlns:r="http://schemas.openxmlformats.org/officeDocument/2006/relationships" name="RiskRegister_5.2-5.3" sheetId="2" state="visible" r:id="rId2"/>
    <sheet xmlns:r="http://schemas.openxmlformats.org/officeDocument/2006/relationships" name="MaTran5x5_TrucQuan" sheetId="3" state="visible" r:id="rId3"/>
    <sheet xmlns:r="http://schemas.openxmlformats.org/officeDocument/2006/relationships" name="5.4_Checklist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</fonts>
  <fills count="11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00000"/>
        <bgColor rgb="FF800000"/>
      </patternFill>
    </fill>
    <fill>
      <patternFill patternType="solid">
        <fgColor rgb="FFE36C09"/>
        <bgColor rgb="FFFF9900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top" wrapText="1"/>
    </xf>
    <xf numFmtId="0" fontId="0" fillId="5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top" wrapText="1"/>
    </xf>
    <xf numFmtId="0" fontId="0" fillId="7" borderId="0" applyAlignment="1" pivotButton="0" quotePrefix="0" xfId="0">
      <alignment horizontal="general" vertical="top" wrapText="1"/>
    </xf>
    <xf numFmtId="0" fontId="0" fillId="8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top" wrapText="1"/>
    </xf>
    <xf numFmtId="0" fontId="0" fillId="5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top" wrapText="1"/>
    </xf>
    <xf numFmtId="0" fontId="0" fillId="7" borderId="0" applyAlignment="1" pivotButton="0" quotePrefix="0" xfId="0">
      <alignment horizontal="general" vertical="top" wrapText="1"/>
    </xf>
    <xf numFmtId="0" fontId="0" fillId="8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E36C09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0" min="1" max="1"/>
    <col width="22" customWidth="1" style="20" min="2" max="2"/>
    <col width="14" customWidth="1" style="20" min="3" max="3"/>
    <col width="30" customWidth="1" style="20" min="4" max="4"/>
    <col width="45" customWidth="1" style="20" min="5" max="5"/>
  </cols>
  <sheetData>
    <row r="1" ht="15" customHeight="1" s="21">
      <c r="A1" s="22" t="inlineStr">
        <is>
          <t>Bảng 5.1. Tài sản và dữ liệu cần bảo vệ</t>
        </is>
      </c>
    </row>
    <row r="2" ht="15" customHeight="1" s="21">
      <c r="A2" s="20" t="inlineStr">
        <is>
          <t>Đề tài 35 - Quản lý rủi ro bảo mật cho hệ thống IoT quy mô nhỏ - Võ Nguyễn Duyên - 231A010722</t>
        </is>
      </c>
    </row>
    <row r="3" ht="15" customHeight="1" s="21">
      <c r="A3" s="23" t="inlineStr">
        <is>
          <t>Tài sản/dữ liệu</t>
        </is>
      </c>
      <c r="B3" s="23" t="inlineStr">
        <is>
          <t>Chủ thể</t>
        </is>
      </c>
      <c r="C3" s="23" t="inlineStr">
        <is>
          <t>Mức quan trọng</t>
        </is>
      </c>
      <c r="D3" s="23" t="inlineStr">
        <is>
          <t>Yêu cầu C-I-A</t>
        </is>
      </c>
      <c r="E3" s="23" t="inlineStr">
        <is>
          <t>Ghi chú</t>
        </is>
      </c>
    </row>
    <row r="4" ht="28.35" customHeight="1" s="21">
      <c r="A4" s="24" t="inlineStr">
        <is>
          <t>Gateway/Edge Device</t>
        </is>
      </c>
      <c r="B4" s="24" t="inlineStr">
        <is>
          <t>Đội vận hành hệ thống</t>
        </is>
      </c>
      <c r="C4" s="24" t="inlineStr">
        <is>
          <t>Rất cao (5/5)</t>
        </is>
      </c>
      <c r="D4" s="24" t="inlineStr">
        <is>
          <t>Integrity, Availability</t>
        </is>
      </c>
      <c r="E4" s="24" t="inlineStr">
        <is>
          <t>Điểm trung chuyển giữa thiết bị và máy chủ; ảnh hưởng toàn hệ thống nếu bị chiếm quyền</t>
        </is>
      </c>
    </row>
    <row r="5" ht="28.35" customHeight="1" s="21">
      <c r="A5" s="24" t="inlineStr">
        <is>
          <t>Tài khoản quản trị</t>
        </is>
      </c>
      <c r="B5" s="24" t="inlineStr">
        <is>
          <t>Quản trị viên hệ thống</t>
        </is>
      </c>
      <c r="C5" s="24" t="inlineStr">
        <is>
          <t>Rất cao (5/5)</t>
        </is>
      </c>
      <c r="D5" s="24" t="inlineStr">
        <is>
          <t>Confidentiality, Integrity</t>
        </is>
      </c>
      <c r="E5" s="24" t="inlineStr">
        <is>
          <t>Quyền truy cập cao nhất, mục tiêu hàng đầu của tấn công</t>
        </is>
      </c>
    </row>
    <row r="6" ht="28.35" customHeight="1" s="21">
      <c r="A6" s="24" t="inlineStr">
        <is>
          <t>Cơ sở dữ liệu (Database)</t>
        </is>
      </c>
      <c r="B6" s="24" t="inlineStr">
        <is>
          <t>Quản trị viên/Máy chủ</t>
        </is>
      </c>
      <c r="C6" s="24" t="inlineStr">
        <is>
          <t>Rất cao (5/5)</t>
        </is>
      </c>
      <c r="D6" s="24" t="inlineStr">
        <is>
          <t>Confidentiality, Integrity, Availability</t>
        </is>
      </c>
      <c r="E6" s="24" t="inlineStr">
        <is>
          <t>Lưu trữ dữ liệu cảm biến và thông tin tài khoản người dùng</t>
        </is>
      </c>
    </row>
    <row r="7" ht="28.35" customHeight="1" s="21">
      <c r="A7" s="24" t="inlineStr">
        <is>
          <t>Firmware thiết bị</t>
        </is>
      </c>
      <c r="B7" s="24" t="inlineStr">
        <is>
          <t>Nhà sản xuất/Người dùng</t>
        </is>
      </c>
      <c r="C7" s="24" t="inlineStr">
        <is>
          <t>Cao (4/5)</t>
        </is>
      </c>
      <c r="D7" s="24" t="inlineStr">
        <is>
          <t>Integrity, Availability</t>
        </is>
      </c>
      <c r="E7" s="24" t="inlineStr">
        <is>
          <t>Ảnh hưởng đến hoạt động và bảo mật lâu dài của thiết bị</t>
        </is>
      </c>
    </row>
    <row r="8" ht="28.35" customHeight="1" s="21">
      <c r="A8" s="24" t="inlineStr">
        <is>
          <t>Ứng dụng quản lý &amp; Máy chủ</t>
        </is>
      </c>
      <c r="B8" s="24" t="inlineStr">
        <is>
          <t>Quản trị viên/Người dùng</t>
        </is>
      </c>
      <c r="C8" s="24" t="inlineStr">
        <is>
          <t>Cao (4/5)</t>
        </is>
      </c>
      <c r="D8" s="24" t="inlineStr">
        <is>
          <t>Confidentiality, Integrity</t>
        </is>
      </c>
      <c r="E8" s="24" t="inlineStr">
        <is>
          <t>Giao diện điều khiển và giám sát toàn bộ hệ thống IoT</t>
        </is>
      </c>
    </row>
    <row r="9" ht="28.35" customHeight="1" s="21">
      <c r="A9" s="24" t="inlineStr">
        <is>
          <t>Khóa cửa thông minh</t>
        </is>
      </c>
      <c r="B9" s="24" t="inlineStr">
        <is>
          <t>Người dùng cuối (chủ nhà)</t>
        </is>
      </c>
      <c r="C9" s="24" t="inlineStr">
        <is>
          <t>Rất cao (5/5)</t>
        </is>
      </c>
      <c r="D9" s="24" t="inlineStr">
        <is>
          <t>Integrity, Availability</t>
        </is>
      </c>
      <c r="E9" s="24" t="inlineStr">
        <is>
          <t>Liên quan trực tiếp đến an toàn vật lý và tài sản của người dùng</t>
        </is>
      </c>
    </row>
    <row r="11" ht="15" customHeight="1" s="21">
      <c r="A11" s="22" t="inlineStr">
        <is>
          <t>Tổng số tài sản:</t>
        </is>
      </c>
      <c r="B11" s="20">
        <f>COUNTA(A4:A9)</f>
        <v/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0" min="1" max="1"/>
    <col width="22" customWidth="1" style="20" min="2" max="2"/>
    <col width="32" customWidth="1" style="20" min="3" max="3"/>
    <col width="34" customWidth="1" style="20" min="4" max="4"/>
    <col width="12" customWidth="1" style="20" min="5" max="6"/>
    <col width="8" customWidth="1" style="20" min="7" max="7"/>
    <col width="14" customWidth="1" style="20" min="8" max="8"/>
    <col width="45" customWidth="1" style="20" min="9" max="9"/>
    <col width="16" customWidth="1" style="20" min="10" max="10"/>
  </cols>
  <sheetData>
    <row r="1" ht="15" customHeight="1" s="21">
      <c r="A1" s="22" t="inlineStr">
        <is>
          <t>Bảng 5.2 - 5.3. Mối đe dọa, lỗ hổng và Ma trận rủi ro</t>
        </is>
      </c>
    </row>
    <row r="2" ht="15" customHeight="1" s="21">
      <c r="A2" s="20" t="inlineStr">
        <is>
          <t>Điểm = Khả năng x Tác động. Thang phân loại: Thấp (1-4), Trung bình (5-9), Cao (10-14), Rất cao (15-19), Nghiêm trọng (20-25)</t>
        </is>
      </c>
    </row>
    <row r="3" ht="15" customHeight="1" s="21">
      <c r="A3" s="23" t="inlineStr">
        <is>
          <t>ID</t>
        </is>
      </c>
      <c r="B3" s="23" t="inlineStr">
        <is>
          <t>Tài sản</t>
        </is>
      </c>
      <c r="C3" s="23" t="inlineStr">
        <is>
          <t>Mối đe dọa</t>
        </is>
      </c>
      <c r="D3" s="23" t="inlineStr">
        <is>
          <t>Lỗ hổng</t>
        </is>
      </c>
      <c r="E3" s="23" t="inlineStr">
        <is>
          <t>Khả năng (1-5)</t>
        </is>
      </c>
      <c r="F3" s="23" t="inlineStr">
        <is>
          <t>Tác động (1-5)</t>
        </is>
      </c>
      <c r="G3" s="23" t="inlineStr">
        <is>
          <t>Điểm</t>
        </is>
      </c>
      <c r="H3" s="23" t="inlineStr">
        <is>
          <t>Mức rủi ro</t>
        </is>
      </c>
      <c r="I3" s="23" t="inlineStr">
        <is>
          <t>Biện pháp</t>
        </is>
      </c>
      <c r="J3" s="23" t="inlineStr">
        <is>
          <t>Rủi ro còn lại</t>
        </is>
      </c>
    </row>
    <row r="4" ht="41.75" customHeight="1" s="21">
      <c r="A4" s="24" t="inlineStr">
        <is>
          <t>R-01</t>
        </is>
      </c>
      <c r="B4" s="24" t="inlineStr">
        <is>
          <t>Gateway</t>
        </is>
      </c>
      <c r="C4" s="24" t="inlineStr">
        <is>
          <t>Khai thác lỗ hổng để chiếm quyền điều khiển</t>
        </is>
      </c>
      <c r="D4" s="24" t="inlineStr">
        <is>
          <t>Gateway không được cập nhật firmware định kỳ</t>
        </is>
      </c>
      <c r="E4" s="24" t="n">
        <v>4</v>
      </c>
      <c r="F4" s="24" t="n">
        <v>5</v>
      </c>
      <c r="G4" s="24">
        <f>E4*F4</f>
        <v/>
      </c>
      <c r="H4" s="24">
        <f>IF(G4&gt;=20,"Nghiêm trọng",IF(G4&gt;=15,"Rất cao",IF(G4&gt;=10,"Cao",IF(G4&gt;=5,"Trung bình","Thấp"))))</f>
        <v/>
      </c>
      <c r="I4" s="24" t="inlineStr">
        <is>
          <t>Thiết lập lịch cập nhật firmware định kỳ; đăng ký cảnh báo bảo mật (security advisory) từ nhà sản xuất; kiểm thử firmware trước khi triển khai</t>
        </is>
      </c>
      <c r="J4" s="24" t="inlineStr">
        <is>
          <t>Cao</t>
        </is>
      </c>
    </row>
    <row r="5" ht="41.75" customHeight="1" s="21">
      <c r="A5" s="24" t="inlineStr">
        <is>
          <t>R-02</t>
        </is>
      </c>
      <c r="B5" s="24" t="inlineStr">
        <is>
          <t>Tài khoản quản trị</t>
        </is>
      </c>
      <c r="C5" s="24" t="inlineStr">
        <is>
          <t>Chiếm quyền tài khoản quản trị</t>
        </is>
      </c>
      <c r="D5" s="24" t="inlineStr">
        <is>
          <t>Mật khẩu yếu, không áp dụng MFA</t>
        </is>
      </c>
      <c r="E5" s="24" t="n">
        <v>5</v>
      </c>
      <c r="F5" s="24" t="n">
        <v>4</v>
      </c>
      <c r="G5" s="24">
        <f>E5*F5</f>
        <v/>
      </c>
      <c r="H5" s="24">
        <f>IF(G5&gt;=20,"Nghiêm trọng",IF(G5&gt;=15,"Rất cao",IF(G5&gt;=10,"Cao",IF(G5&gt;=5,"Trung bình","Thấp"))))</f>
        <v/>
      </c>
      <c r="I5" s="24" t="inlineStr">
        <is>
          <t>Áp dụng chính sách mật khẩu mạnh; bắt buộc xác thực đa yếu tố (MFA); khóa tài khoản sau nhiều lần đăng nhập sai</t>
        </is>
      </c>
      <c r="J5" s="24" t="inlineStr">
        <is>
          <t>Thấp</t>
        </is>
      </c>
    </row>
    <row r="6" ht="41.75" customHeight="1" s="21">
      <c r="A6" s="24" t="inlineStr">
        <is>
          <t>R-03</t>
        </is>
      </c>
      <c r="B6" s="24" t="inlineStr">
        <is>
          <t>Camera IP</t>
        </is>
      </c>
      <c r="C6" s="24" t="inlineStr">
        <is>
          <t>Truy cập trái phép vào thiết bị</t>
        </is>
      </c>
      <c r="D6" s="24" t="inlineStr">
        <is>
          <t>Sử dụng mật khẩu mặc định của nhà sản xuất</t>
        </is>
      </c>
      <c r="E6" s="24" t="n">
        <v>4</v>
      </c>
      <c r="F6" s="24" t="n">
        <v>4</v>
      </c>
      <c r="G6" s="24">
        <f>E6*F6</f>
        <v/>
      </c>
      <c r="H6" s="24">
        <f>IF(G6&gt;=20,"Nghiêm trọng",IF(G6&gt;=15,"Rất cao",IF(G6&gt;=10,"Cao",IF(G6&gt;=5,"Trung bình","Thấp"))))</f>
        <v/>
      </c>
      <c r="I6" s="24" t="inlineStr">
        <is>
          <t>Bắt buộc đổi mật khẩu mặc định khi cài đặt; vô hiệu hóa tài khoản mặc định; đặt thiết bị trong VLAN riêng</t>
        </is>
      </c>
      <c r="J6" s="24" t="inlineStr">
        <is>
          <t>Thấp</t>
        </is>
      </c>
    </row>
    <row r="7" ht="28.35" customHeight="1" s="21">
      <c r="A7" s="24" t="inlineStr">
        <is>
          <t>R-04</t>
        </is>
      </c>
      <c r="B7" s="24" t="inlineStr">
        <is>
          <t>Firmware thiết bị</t>
        </is>
      </c>
      <c r="C7" s="24" t="inlineStr">
        <is>
          <t>Khai thác lỗ hổng đã công bố (CVE)</t>
        </is>
      </c>
      <c r="D7" s="24" t="inlineStr">
        <is>
          <t>Firmware lỗi thời, không còn được nhà sản xuất hỗ trợ</t>
        </is>
      </c>
      <c r="E7" s="24" t="n">
        <v>4</v>
      </c>
      <c r="F7" s="24" t="n">
        <v>4</v>
      </c>
      <c r="G7" s="24">
        <f>E7*F7</f>
        <v/>
      </c>
      <c r="H7" s="24">
        <f>IF(G7&gt;=20,"Nghiêm trọng",IF(G7&gt;=15,"Rất cao",IF(G7&gt;=10,"Cao",IF(G7&gt;=5,"Trung bình","Thấp"))))</f>
        <v/>
      </c>
      <c r="I7" s="24" t="inlineStr">
        <is>
          <t>Thay thế thiết bị không còn được hỗ trợ; quét lỗ hổng định kỳ; vá lỗi ngay khi có bản cập nhật</t>
        </is>
      </c>
      <c r="J7" s="24" t="inlineStr">
        <is>
          <t>Thấp</t>
        </is>
      </c>
    </row>
    <row r="8" ht="41.75" customHeight="1" s="21">
      <c r="A8" s="24" t="inlineStr">
        <is>
          <t>R-05</t>
        </is>
      </c>
      <c r="B8" s="24" t="inlineStr">
        <is>
          <t>Ứng dụng quản lý/Server</t>
        </is>
      </c>
      <c r="C8" s="24" t="inlineStr">
        <is>
          <t>Truy cập trái phép từ xa vào hệ thống quản lý</t>
        </is>
      </c>
      <c r="D8" s="24" t="inlineStr">
        <is>
          <t>Cho phép truy cập từ xa không giới hạn IP, không dùng VPN</t>
        </is>
      </c>
      <c r="E8" s="24" t="n">
        <v>4</v>
      </c>
      <c r="F8" s="24" t="n">
        <v>4</v>
      </c>
      <c r="G8" s="24">
        <f>E8*F8</f>
        <v/>
      </c>
      <c r="H8" s="24">
        <f>IF(G8&gt;=20,"Nghiêm trọng",IF(G8&gt;=15,"Rất cao",IF(G8&gt;=10,"Cao",IF(G8&gt;=5,"Trung bình","Thấp"))))</f>
        <v/>
      </c>
      <c r="I8" s="24" t="inlineStr">
        <is>
          <t>Giới hạn truy cập từ xa qua VPN/IP allowlist; bật xác thực đa yếu tố cho quản trị từ xa; giám sát log truy cập bất thường</t>
        </is>
      </c>
      <c r="J8" s="24" t="inlineStr">
        <is>
          <t>Thấp</t>
        </is>
      </c>
    </row>
    <row r="9" ht="41.75" customHeight="1" s="21">
      <c r="A9" s="24" t="inlineStr">
        <is>
          <t>R-06</t>
        </is>
      </c>
      <c r="B9" s="24" t="inlineStr">
        <is>
          <t>Khóa cửa thông minh</t>
        </is>
      </c>
      <c r="C9" s="24" t="inlineStr">
        <is>
          <t>Mở khóa trái phép từ xa (replay attack)</t>
        </is>
      </c>
      <c r="D9" s="24" t="inlineStr">
        <is>
          <t>Giao thức không dây (Wi-Fi/ZigBee/BLE) thiếu mã hóa</t>
        </is>
      </c>
      <c r="E9" s="24" t="n">
        <v>3</v>
      </c>
      <c r="F9" s="24" t="n">
        <v>5</v>
      </c>
      <c r="G9" s="24">
        <f>E9*F9</f>
        <v/>
      </c>
      <c r="H9" s="24">
        <f>IF(G9&gt;=20,"Nghiêm trọng",IF(G9&gt;=15,"Rất cao",IF(G9&gt;=10,"Cao",IF(G9&gt;=5,"Trung bình","Thấp"))))</f>
        <v/>
      </c>
      <c r="I9" s="24" t="inlineStr">
        <is>
          <t>Áp dụng mã hóa và cơ chế chống lặp lại tín hiệu (rolling code); giới hạn khoảng cách kết nối; cảnh báo khi có yêu cầu mở khóa bất thường</t>
        </is>
      </c>
      <c r="J9" s="24" t="inlineStr">
        <is>
          <t>Thấp</t>
        </is>
      </c>
    </row>
    <row r="11" ht="15" customHeight="1" s="21">
      <c r="A11" s="22" t="inlineStr">
        <is>
          <t>Tổng hợp theo mức độ:</t>
        </is>
      </c>
    </row>
    <row r="12" ht="15" customHeight="1" s="21">
      <c r="A12" s="25" t="inlineStr">
        <is>
          <t>Nghiêm trọng</t>
        </is>
      </c>
      <c r="B12" s="20">
        <f>COUNTIF(H4:H9,"Nghiêm trọng")</f>
        <v/>
      </c>
    </row>
    <row r="13" ht="15" customHeight="1" s="21">
      <c r="A13" s="26" t="inlineStr">
        <is>
          <t>Rất cao</t>
        </is>
      </c>
      <c r="B13" s="20">
        <f>COUNTIF(H4:H9,"Rất cao")</f>
        <v/>
      </c>
    </row>
    <row r="14" ht="15" customHeight="1" s="21">
      <c r="A14" s="27" t="inlineStr">
        <is>
          <t>Cao</t>
        </is>
      </c>
      <c r="B14" s="20">
        <f>COUNTIF(H4:H9,"Cao")</f>
        <v/>
      </c>
    </row>
    <row r="15" ht="15" customHeight="1" s="21">
      <c r="A15" s="28" t="inlineStr">
        <is>
          <t>Trung bình</t>
        </is>
      </c>
      <c r="B15" s="20">
        <f>COUNTIF(H4:H9,"Trung bình")</f>
        <v/>
      </c>
    </row>
    <row r="16" ht="15" customHeight="1" s="21">
      <c r="A16" s="29" t="inlineStr">
        <is>
          <t>Thấp</t>
        </is>
      </c>
      <c r="B16" s="20">
        <f>COUNTIF(H4:H9,"Thấp")</f>
        <v/>
      </c>
    </row>
    <row r="17" ht="15" customHeight="1" s="21">
      <c r="A17" s="22" t="inlineStr">
        <is>
          <t>Tổng số rủi ro:</t>
        </is>
      </c>
      <c r="B17" s="20">
        <f>COUNTA(A4:A9)</f>
        <v/>
      </c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20" min="1" max="1"/>
    <col width="10" customWidth="1" style="20" min="2" max="3"/>
    <col width="14" customWidth="1" style="20" min="4" max="4"/>
    <col width="20" customWidth="1" style="20" min="5" max="5"/>
    <col width="10" customWidth="1" style="20" min="6" max="6"/>
  </cols>
  <sheetData>
    <row r="1" ht="15" customHeight="1" s="21">
      <c r="A1" s="22" t="inlineStr">
        <is>
          <t>Ma trận đánh giá rủi ro 5×5 (minh họa cho Hình 4.3)</t>
        </is>
      </c>
    </row>
    <row r="2" ht="15" customHeight="1" s="21">
      <c r="A2" s="20" t="inlineStr">
        <is>
          <t>Điểm = Khả năng x Tác động. ID rủi ro trong mỗi ô tham chiếu từ sheet RiskRegister_5.2-5.3</t>
        </is>
      </c>
    </row>
    <row r="3" ht="15" customHeight="1" s="21">
      <c r="A3" s="23" t="inlineStr">
        <is>
          <t>Khả năng \ Tác động</t>
        </is>
      </c>
      <c r="B3" s="23" t="n">
        <v>1</v>
      </c>
      <c r="C3" s="23" t="n">
        <v>2</v>
      </c>
      <c r="D3" s="23" t="n">
        <v>3</v>
      </c>
      <c r="E3" s="23" t="n">
        <v>4</v>
      </c>
      <c r="F3" s="23" t="n">
        <v>5</v>
      </c>
    </row>
    <row r="4" ht="15" customHeight="1" s="21">
      <c r="A4" s="23" t="n">
        <v>5</v>
      </c>
      <c r="B4" s="30" t="inlineStr">
        <is>
          <t>5</t>
        </is>
      </c>
      <c r="C4" s="31" t="inlineStr">
        <is>
          <t>10</t>
        </is>
      </c>
      <c r="D4" s="32" t="inlineStr">
        <is>
          <t>15</t>
        </is>
      </c>
      <c r="E4" s="33" t="inlineStr">
        <is>
          <t>20 (R-02)</t>
        </is>
      </c>
      <c r="F4" s="33" t="inlineStr">
        <is>
          <t>25</t>
        </is>
      </c>
    </row>
    <row r="5" ht="15" customHeight="1" s="21">
      <c r="A5" s="23" t="n">
        <v>4</v>
      </c>
      <c r="B5" s="34" t="inlineStr">
        <is>
          <t>4</t>
        </is>
      </c>
      <c r="C5" s="30" t="inlineStr">
        <is>
          <t>8</t>
        </is>
      </c>
      <c r="D5" s="31" t="inlineStr">
        <is>
          <t>12</t>
        </is>
      </c>
      <c r="E5" s="32" t="inlineStr">
        <is>
          <t>16 (R-03, R-04, R-05)</t>
        </is>
      </c>
      <c r="F5" s="33" t="inlineStr">
        <is>
          <t>20 (R-01)</t>
        </is>
      </c>
    </row>
    <row r="6" ht="15" customHeight="1" s="21">
      <c r="A6" s="23" t="n">
        <v>3</v>
      </c>
      <c r="B6" s="34" t="inlineStr">
        <is>
          <t>3</t>
        </is>
      </c>
      <c r="C6" s="30" t="inlineStr">
        <is>
          <t>6</t>
        </is>
      </c>
      <c r="D6" s="30" t="inlineStr">
        <is>
          <t>9</t>
        </is>
      </c>
      <c r="E6" s="31" t="inlineStr">
        <is>
          <t>12</t>
        </is>
      </c>
      <c r="F6" s="32" t="inlineStr">
        <is>
          <t>15 (R-06)</t>
        </is>
      </c>
    </row>
    <row r="7" ht="15" customHeight="1" s="21">
      <c r="A7" s="23" t="n">
        <v>2</v>
      </c>
      <c r="B7" s="34" t="inlineStr">
        <is>
          <t>2</t>
        </is>
      </c>
      <c r="C7" s="34" t="inlineStr">
        <is>
          <t>4</t>
        </is>
      </c>
      <c r="D7" s="30" t="inlineStr">
        <is>
          <t>6</t>
        </is>
      </c>
      <c r="E7" s="30" t="inlineStr">
        <is>
          <t>8</t>
        </is>
      </c>
      <c r="F7" s="31" t="inlineStr">
        <is>
          <t>10</t>
        </is>
      </c>
    </row>
    <row r="8" ht="15" customHeight="1" s="21">
      <c r="A8" s="23" t="n">
        <v>1</v>
      </c>
      <c r="B8" s="34" t="inlineStr">
        <is>
          <t>1</t>
        </is>
      </c>
      <c r="C8" s="34" t="inlineStr">
        <is>
          <t>2</t>
        </is>
      </c>
      <c r="D8" s="34" t="inlineStr">
        <is>
          <t>3</t>
        </is>
      </c>
      <c r="E8" s="34" t="inlineStr">
        <is>
          <t>4</t>
        </is>
      </c>
      <c r="F8" s="30" t="inlineStr">
        <is>
          <t>5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0" min="1" max="1"/>
    <col width="42" customWidth="1" style="20" min="2" max="2"/>
    <col width="10" customWidth="1" style="20" min="3" max="3"/>
    <col width="55" customWidth="1" style="20" min="4" max="4"/>
  </cols>
  <sheetData>
    <row r="1" ht="15" customHeight="1" s="21">
      <c r="A1" s="22" t="inlineStr">
        <is>
          <t>Bảng 5.4. Checklist kiểm tra bảo mật định kỳ</t>
        </is>
      </c>
    </row>
    <row r="2" ht="15" customHeight="1" s="21">
      <c r="A2" s="20" t="inlineStr">
        <is>
          <t>Thực hiện theo tần suất quy định để duy trì mức độ an toàn sau xử lý</t>
        </is>
      </c>
    </row>
    <row r="3" ht="15" customHeight="1" s="21">
      <c r="A3" s="23" t="inlineStr">
        <is>
          <t>STT</t>
        </is>
      </c>
      <c r="B3" s="23" t="inlineStr">
        <is>
          <t>Hạng mục kiểm tra</t>
        </is>
      </c>
      <c r="C3" s="23" t="inlineStr">
        <is>
          <t>Tần suất</t>
        </is>
      </c>
      <c r="D3" s="23" t="inlineStr">
        <is>
          <t>Cách thực hiện</t>
        </is>
      </c>
    </row>
    <row r="4" ht="28.35" customHeight="1" s="21">
      <c r="A4" s="24" t="n">
        <v>1</v>
      </c>
      <c r="B4" s="24" t="inlineStr">
        <is>
          <t>Kiểm tra mật khẩu mặc định trên thiết bị và tài khoản quản trị</t>
        </is>
      </c>
      <c r="C4" s="35" t="inlineStr">
        <is>
          <t>Tuần</t>
        </is>
      </c>
      <c r="D4" s="24" t="inlineStr">
        <is>
          <t>Đối chiếu danh sách thiết bị/tài khoản; đổi mật khẩu ngay nếu phát hiện còn dùng mặc định</t>
        </is>
      </c>
    </row>
    <row r="5" ht="28.35" customHeight="1" s="21">
      <c r="A5" s="24" t="n">
        <v>2</v>
      </c>
      <c r="B5" s="24" t="inlineStr">
        <is>
          <t>Kiểm tra log truy cập bất thường</t>
        </is>
      </c>
      <c r="C5" s="35" t="inlineStr">
        <is>
          <t>Tuần</t>
        </is>
      </c>
      <c r="D5" s="24" t="inlineStr">
        <is>
          <t>Xem log đăng nhập và log truy cập từ xa; cảnh báo khi phát hiện truy cập lạ</t>
        </is>
      </c>
    </row>
    <row r="6" ht="28.35" customHeight="1" s="21">
      <c r="A6" s="24" t="n">
        <v>3</v>
      </c>
      <c r="B6" s="24" t="inlineStr">
        <is>
          <t>Kiểm tra phiên bản firmware</t>
        </is>
      </c>
      <c r="C6" s="36" t="inlineStr">
        <is>
          <t>Tháng</t>
        </is>
      </c>
      <c r="D6" s="24" t="inlineStr">
        <is>
          <t>So sánh phiên bản firmware hiện tại với bản mới nhất từ nhà sản xuất; vá lỗi nếu có bản cập nhật</t>
        </is>
      </c>
    </row>
    <row r="7" ht="28.35" customHeight="1" s="21">
      <c r="A7" s="24" t="n">
        <v>4</v>
      </c>
      <c r="B7" s="24" t="inlineStr">
        <is>
          <t>Kiểm tra cấu hình xác thực (MFA)</t>
        </is>
      </c>
      <c r="C7" s="36" t="inlineStr">
        <is>
          <t>Tháng</t>
        </is>
      </c>
      <c r="D7" s="24" t="inlineStr">
        <is>
          <t>Xác nhận MFA được bật cho tài khoản quản trị và các phiên truy cập từ xa</t>
        </is>
      </c>
    </row>
    <row r="8" ht="28.35" customHeight="1" s="21">
      <c r="A8" s="24" t="n">
        <v>5</v>
      </c>
      <c r="B8" s="24" t="inlineStr">
        <is>
          <t>Kiểm tra mã hóa truyền dữ liệu</t>
        </is>
      </c>
      <c r="C8" s="37" t="inlineStr">
        <is>
          <t>Quý</t>
        </is>
      </c>
      <c r="D8" s="24" t="inlineStr">
        <is>
          <t>Xác minh kết nối giữa thiết bị, gateway và máy chủ sử dụng TLS/HTTPS/MQTT có mã hóa</t>
        </is>
      </c>
    </row>
    <row r="9" ht="28.35" customHeight="1" s="21">
      <c r="A9" s="24" t="n">
        <v>6</v>
      </c>
      <c r="B9" s="24" t="inlineStr">
        <is>
          <t>Kiểm tra phân đoạn mạng (VLAN)</t>
        </is>
      </c>
      <c r="C9" s="37" t="inlineStr">
        <is>
          <t>Quý</t>
        </is>
      </c>
      <c r="D9" s="24" t="inlineStr">
        <is>
          <t>Xác nhận thiết bị IoT được cô lập trong VLAN riêng, tách khỏi mạng nội bộ chính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2026-07-24T11:55:29Z</dcterms:created>
  <dcterms:modified xmlns:dcterms="http://purl.org/dc/terms/" xmlns:xsi="http://www.w3.org/2001/XMLSchema-instance" xsi:type="dcterms:W3CDTF">2026-07-26T16:17:05Z</dcterms:modified>
  <cp:revision>0</cp:revision>
</cp:coreProperties>
</file>