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.1_DanhMucTaiSan" sheetId="1" state="visible" r:id="rId3"/>
    <sheet name="RiskRegister_6.2-6.3" sheetId="2" state="visible" r:id="rId4"/>
    <sheet name="MaTran5x5_TrucQuan" sheetId="3" state="visible" r:id="rId5"/>
    <sheet name="6.4_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<sst xmlns="http://schemas.openxmlformats.org/spreadsheetml/2006/main" count="145" uniqueCount="117">
  <si>
    <t xml:space="preserve">Bảng 6.1. Tài sản và dữ liệu cần bảo vệ</t>
  </si>
  <si>
    <t xml:space="preserve">Đề tài 35 - Quản lý rủi ro bảo mật cho hệ thống IoT quy mô nhỏ - Võ Nguyễn Duyên - 231A010722</t>
  </si>
  <si>
    <t xml:space="preserve">Tài sản/dữ liệu</t>
  </si>
  <si>
    <t xml:space="preserve">Chủ thể</t>
  </si>
  <si>
    <t xml:space="preserve">Mức quan trọng</t>
  </si>
  <si>
    <t xml:space="preserve">Yêu cầu C-I-A</t>
  </si>
  <si>
    <t xml:space="preserve">Ghi chú</t>
  </si>
  <si>
    <t xml:space="preserve">Gateway/Edge Device</t>
  </si>
  <si>
    <t xml:space="preserve">Đội vận hành hệ thống</t>
  </si>
  <si>
    <t xml:space="preserve">Rất cao (5/5)</t>
  </si>
  <si>
    <t xml:space="preserve">Integrity, Availability</t>
  </si>
  <si>
    <t xml:space="preserve">Điểm trung chuyển giữa thiết bị và máy chủ; ảnh hưởng toàn hệ thống nếu bị chiếm quyền</t>
  </si>
  <si>
    <t xml:space="preserve">Tài khoản quản trị</t>
  </si>
  <si>
    <t xml:space="preserve">Quản trị viên hệ thống</t>
  </si>
  <si>
    <t xml:space="preserve">Confidentiality, Integrity</t>
  </si>
  <si>
    <t xml:space="preserve">Quyền truy cập cao nhất, mục tiêu hàng đầu của tấn công</t>
  </si>
  <si>
    <t xml:space="preserve">Cơ sở dữ liệu (Database)</t>
  </si>
  <si>
    <t xml:space="preserve">Quản trị viên/Máy chủ</t>
  </si>
  <si>
    <t xml:space="preserve">Confidentiality, Integrity, Availability</t>
  </si>
  <si>
    <t xml:space="preserve">Lưu trữ dữ liệu cảm biến và thông tin tài khoản người dùng</t>
  </si>
  <si>
    <t xml:space="preserve">Firmware thiết bị</t>
  </si>
  <si>
    <t xml:space="preserve">Nhà sản xuất/Người dùng</t>
  </si>
  <si>
    <t xml:space="preserve">Cao (4/5)</t>
  </si>
  <si>
    <t xml:space="preserve">Ảnh hưởng đến hoạt động và bảo mật lâu dài của thiết bị</t>
  </si>
  <si>
    <t xml:space="preserve">Ứng dụng quản lý &amp; Máy chủ</t>
  </si>
  <si>
    <t xml:space="preserve">Quản trị viên/Người dùng</t>
  </si>
  <si>
    <t xml:space="preserve">Giao diện điều khiển và giám sát toàn bộ hệ thống IoT</t>
  </si>
  <si>
    <t xml:space="preserve">Khóa cửa thông minh</t>
  </si>
  <si>
    <t xml:space="preserve">Người dùng cuối (chủ nhà)</t>
  </si>
  <si>
    <t xml:space="preserve">Liên quan trực tiếp đến an toàn vật lý và tài sản của người dùng</t>
  </si>
  <si>
    <t xml:space="preserve">Tổng số tài sản:</t>
  </si>
  <si>
    <t xml:space="preserve">Bảng 6.2 - 6.3. Mối đe dọa, lỗ hổng và Ma trận rủi ro</t>
  </si>
  <si>
    <t xml:space="preserve">Điểm = Khả năng x Tác động. Thang phân loại: Thấp (1-4), Trung bình (5-9), Cao (10-14), Rất cao (15-19), Nghiêm trọng (20-25)</t>
  </si>
  <si>
    <t xml:space="preserve">ID</t>
  </si>
  <si>
    <t xml:space="preserve">Tài sản</t>
  </si>
  <si>
    <t xml:space="preserve">Mối đe dọa</t>
  </si>
  <si>
    <t xml:space="preserve">Lỗ hổng</t>
  </si>
  <si>
    <t xml:space="preserve">Khả năng (1-5)</t>
  </si>
  <si>
    <t xml:space="preserve">Tác động (1-5)</t>
  </si>
  <si>
    <t xml:space="preserve">Điểm</t>
  </si>
  <si>
    <t xml:space="preserve">Mức rủi ro</t>
  </si>
  <si>
    <t xml:space="preserve">Biện pháp</t>
  </si>
  <si>
    <t xml:space="preserve">Rủi ro còn lại</t>
  </si>
  <si>
    <t xml:space="preserve">R-01</t>
  </si>
  <si>
    <t xml:space="preserve">Gateway</t>
  </si>
  <si>
    <t xml:space="preserve">Khai thác lỗ hổng để chiếm quyền điều khiển</t>
  </si>
  <si>
    <t xml:space="preserve">Gateway không được cập nhật firmware định kỳ</t>
  </si>
  <si>
    <t xml:space="preserve">Thiết lập lịch cập nhật firmware định kỳ; đăng ký cảnh báo bảo mật (security advisory) từ nhà sản xuất; kiểm thử firmware trước khi triển khai</t>
  </si>
  <si>
    <t xml:space="preserve">Cao</t>
  </si>
  <si>
    <t xml:space="preserve">R-02</t>
  </si>
  <si>
    <t xml:space="preserve">Chiếm quyền tài khoản quản trị</t>
  </si>
  <si>
    <t xml:space="preserve">Mật khẩu yếu, không áp dụng MFA</t>
  </si>
  <si>
    <t xml:space="preserve">Áp dụng chính sách mật khẩu mạnh; bắt buộc xác thực đa yếu tố (MFA); khóa tài khoản sau nhiều lần đăng nhập sai</t>
  </si>
  <si>
    <t xml:space="preserve">Thấp</t>
  </si>
  <si>
    <t xml:space="preserve">R-03</t>
  </si>
  <si>
    <t xml:space="preserve">Camera IP</t>
  </si>
  <si>
    <t xml:space="preserve">Truy cập trái phép vào thiết bị</t>
  </si>
  <si>
    <t xml:space="preserve">Sử dụng mật khẩu mặc định của nhà sản xuất</t>
  </si>
  <si>
    <t xml:space="preserve">Bắt buộc đổi mật khẩu mặc định khi cài đặt; vô hiệu hóa tài khoản mặc định; đặt thiết bị trong VLAN riêng</t>
  </si>
  <si>
    <t xml:space="preserve">R-04</t>
  </si>
  <si>
    <t xml:space="preserve">Khai thác lỗ hổng đã công bố (CVE)</t>
  </si>
  <si>
    <t xml:space="preserve">Firmware lỗi thời, không còn được nhà sản xuất hỗ trợ</t>
  </si>
  <si>
    <t xml:space="preserve">Thay thế thiết bị không còn được hỗ trợ; quét lỗ hổng định kỳ; vá lỗi ngay khi có bản cập nhật</t>
  </si>
  <si>
    <t xml:space="preserve">R-05</t>
  </si>
  <si>
    <t xml:space="preserve">Ứng dụng quản lý/Server</t>
  </si>
  <si>
    <t xml:space="preserve">Truy cập trái phép từ xa vào hệ thống quản lý</t>
  </si>
  <si>
    <t xml:space="preserve">Cho phép truy cập từ xa không giới hạn IP, không dùng VPN</t>
  </si>
  <si>
    <t xml:space="preserve">Giới hạn truy cập từ xa qua VPN/IP allowlist; bật xác thực đa yếu tố cho quản trị từ xa; giám sát log truy cập bất thường</t>
  </si>
  <si>
    <t xml:space="preserve">R-06</t>
  </si>
  <si>
    <t xml:space="preserve">Mở khóa trái phép từ xa (replay attack)</t>
  </si>
  <si>
    <t xml:space="preserve">Giao thức không dây (Wi-Fi/ZigBee/BLE) thiếu mã hóa</t>
  </si>
  <si>
    <t xml:space="preserve">Áp dụng mã hóa và cơ chế chống lặp lại tín hiệu (rolling code); giới hạn khoảng cách kết nối; cảnh báo khi có yêu cầu mở khóa bất thường</t>
  </si>
  <si>
    <t xml:space="preserve">Tổng hợp theo mức độ:</t>
  </si>
  <si>
    <t xml:space="preserve">Nghiêm trọng</t>
  </si>
  <si>
    <t xml:space="preserve">Rất cao</t>
  </si>
  <si>
    <t xml:space="preserve">Trung bình</t>
  </si>
  <si>
    <t xml:space="preserve">Tổng số rủi ro:</t>
  </si>
  <si>
    <t xml:space="preserve">Ma trận đánh giá rủi ro 5×5 (minh họa cho Hình 5.3)</t>
  </si>
  <si>
    <t xml:space="preserve">Điểm = Khả năng x Tác động. ID rủi ro trong mỗi ô tham chiếu từ sheet RiskRegister_6.2-6.3</t>
  </si>
  <si>
    <t xml:space="preserve">Khả năng \ Tác động</t>
  </si>
  <si>
    <t xml:space="preserve">5</t>
  </si>
  <si>
    <t xml:space="preserve">10</t>
  </si>
  <si>
    <t xml:space="preserve">15</t>
  </si>
  <si>
    <t xml:space="preserve">20 (R-02)</t>
  </si>
  <si>
    <t xml:space="preserve">25</t>
  </si>
  <si>
    <t xml:space="preserve">4</t>
  </si>
  <si>
    <t xml:space="preserve">8</t>
  </si>
  <si>
    <t xml:space="preserve">12</t>
  </si>
  <si>
    <t xml:space="preserve">16 (R-03, R-04, R-05)</t>
  </si>
  <si>
    <t xml:space="preserve">20 (R-01)</t>
  </si>
  <si>
    <t xml:space="preserve">3</t>
  </si>
  <si>
    <t xml:space="preserve">6</t>
  </si>
  <si>
    <t xml:space="preserve">9</t>
  </si>
  <si>
    <t xml:space="preserve">15 (R-06)</t>
  </si>
  <si>
    <t xml:space="preserve">2</t>
  </si>
  <si>
    <t xml:space="preserve">1</t>
  </si>
  <si>
    <t xml:space="preserve">Bảng 6.4. Checklist kiểm tra bảo mật định kỳ</t>
  </si>
  <si>
    <t xml:space="preserve">Thực hiện theo tần suất quy định để duy trì mức độ an toàn sau xử lý</t>
  </si>
  <si>
    <t xml:space="preserve">STT</t>
  </si>
  <si>
    <t xml:space="preserve">Hạng mục kiểm tra</t>
  </si>
  <si>
    <t xml:space="preserve">Tần suất</t>
  </si>
  <si>
    <t xml:space="preserve">Cách thực hiện</t>
  </si>
  <si>
    <t xml:space="preserve">Kiểm tra mật khẩu mặc định trên thiết bị và tài khoản quản trị</t>
  </si>
  <si>
    <t xml:space="preserve">Tuần</t>
  </si>
  <si>
    <t xml:space="preserve">Đối chiếu danh sách thiết bị/tài khoản; đổi mật khẩu ngay nếu phát hiện còn dùng mặc định</t>
  </si>
  <si>
    <t xml:space="preserve">Kiểm tra log truy cập bất thường</t>
  </si>
  <si>
    <t xml:space="preserve">Xem log đăng nhập và log truy cập từ xa; cảnh báo khi phát hiện truy cập lạ</t>
  </si>
  <si>
    <t xml:space="preserve">Kiểm tra phiên bản firmware</t>
  </si>
  <si>
    <t xml:space="preserve">Tháng</t>
  </si>
  <si>
    <t xml:space="preserve">So sánh phiên bản firmware hiện tại với bản mới nhất từ nhà sản xuất; vá lỗi nếu có bản cập nhật</t>
  </si>
  <si>
    <t xml:space="preserve">Kiểm tra cấu hình xác thực (MFA)</t>
  </si>
  <si>
    <t xml:space="preserve">Xác nhận MFA được bật cho tài khoản quản trị và các phiên truy cập từ xa</t>
  </si>
  <si>
    <t xml:space="preserve">Kiểm tra mã hóa truyền dữ liệu</t>
  </si>
  <si>
    <t xml:space="preserve">Quý</t>
  </si>
  <si>
    <t xml:space="preserve">Xác minh kết nối giữa thiết bị, gateway và máy chủ sử dụng TLS/HTTPS/MQTT có mã hóa</t>
  </si>
  <si>
    <t xml:space="preserve">Kiểm tra phân đoạn mạng (VLAN)</t>
  </si>
  <si>
    <t xml:space="preserve">Xác nhận thiết bị IoT được cô lập trong VLAN riêng, tách khỏi mạng nội bộ chính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</si>
</sst>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36C09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36C0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28.35" hidden="false" customHeight="fals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customFormat="false" ht="28.35" hidden="false" customHeight="false" outlineLevel="0" collapsed="false">
      <c r="A5" s="4" t="s">
        <v>12</v>
      </c>
      <c r="B5" s="4" t="s">
        <v>13</v>
      </c>
      <c r="C5" s="4" t="s">
        <v>9</v>
      </c>
      <c r="D5" s="4" t="s">
        <v>14</v>
      </c>
      <c r="E5" s="4" t="s">
        <v>15</v>
      </c>
    </row>
    <row r="6" customFormat="false" ht="28.35" hidden="false" customHeight="false" outlineLevel="0" collapsed="false">
      <c r="A6" s="4" t="s">
        <v>16</v>
      </c>
      <c r="B6" s="4" t="s">
        <v>17</v>
      </c>
      <c r="C6" s="4" t="s">
        <v>9</v>
      </c>
      <c r="D6" s="4" t="s">
        <v>18</v>
      </c>
      <c r="E6" s="4" t="s">
        <v>19</v>
      </c>
    </row>
    <row r="7" customFormat="false" ht="28.3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10</v>
      </c>
      <c r="E7" s="4" t="s">
        <v>23</v>
      </c>
    </row>
    <row r="8" customFormat="false" ht="28.35" hidden="false" customHeight="false" outlineLevel="0" collapsed="false">
      <c r="A8" s="4" t="s">
        <v>24</v>
      </c>
      <c r="B8" s="4" t="s">
        <v>25</v>
      </c>
      <c r="C8" s="4" t="s">
        <v>22</v>
      </c>
      <c r="D8" s="4" t="s">
        <v>14</v>
      </c>
      <c r="E8" s="4" t="s">
        <v>26</v>
      </c>
    </row>
    <row r="9" customFormat="false" ht="28.35" hidden="false" customHeight="false" outlineLevel="0" collapsed="false">
      <c r="A9" s="4" t="s">
        <v>27</v>
      </c>
      <c r="B9" s="4" t="s">
        <v>28</v>
      </c>
      <c r="C9" s="4" t="s">
        <v>9</v>
      </c>
      <c r="D9" s="4" t="s">
        <v>10</v>
      </c>
      <c r="E9" s="4" t="s">
        <v>29</v>
      </c>
    </row>
    <row r="11" customFormat="false" ht="15" hidden="false" customHeight="false" outlineLevel="0" collapsed="false">
      <c r="A11" s="5" t="s">
        <v>30</v>
      </c>
      <c r="B11" s="6" t="n">
        <f aca="false">COUNTA(A4:A9)</f>
        <v>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45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</row>
    <row r="4" customFormat="false" ht="41.7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n">
        <v>4</v>
      </c>
      <c r="F4" s="4" t="n">
        <v>5</v>
      </c>
      <c r="G4" s="4" t="n">
        <f aca="false">E4*F4</f>
        <v>20</v>
      </c>
      <c r="H4" s="4" t="str">
        <f aca="false">IF(G4&gt;=20,"Nghiêm trọng",IF(G4&gt;=15,"Rất cao",IF(G4&gt;=10,"Cao",IF(G4&gt;=5,"Trung bình","Thấp"))))</f>
        <v>Nghiêm trọng</v>
      </c>
      <c r="I4" s="4" t="s">
        <v>47</v>
      </c>
      <c r="J4" s="4" t="s">
        <v>48</v>
      </c>
    </row>
    <row r="5" customFormat="false" ht="41.75" hidden="false" customHeight="false" outlineLevel="0" collapsed="false">
      <c r="A5" s="4" t="s">
        <v>49</v>
      </c>
      <c r="B5" s="4" t="s">
        <v>12</v>
      </c>
      <c r="C5" s="4" t="s">
        <v>50</v>
      </c>
      <c r="D5" s="4" t="s">
        <v>51</v>
      </c>
      <c r="E5" s="4" t="n">
        <v>5</v>
      </c>
      <c r="F5" s="4" t="n">
        <v>4</v>
      </c>
      <c r="G5" s="4" t="n">
        <f aca="false">E5*F5</f>
        <v>20</v>
      </c>
      <c r="H5" s="4" t="str">
        <f aca="false">IF(G5&gt;=20,"Nghiêm trọng",IF(G5&gt;=15,"Rất cao",IF(G5&gt;=10,"Cao",IF(G5&gt;=5,"Trung bình","Thấp"))))</f>
        <v>Nghiêm trọng</v>
      </c>
      <c r="I5" s="4" t="s">
        <v>52</v>
      </c>
      <c r="J5" s="4" t="s">
        <v>53</v>
      </c>
    </row>
    <row r="6" customFormat="false" ht="41.75" hidden="false" customHeight="false" outlineLevel="0" collapsed="false">
      <c r="A6" s="4" t="s">
        <v>54</v>
      </c>
      <c r="B6" s="4" t="s">
        <v>55</v>
      </c>
      <c r="C6" s="4" t="s">
        <v>56</v>
      </c>
      <c r="D6" s="4" t="s">
        <v>57</v>
      </c>
      <c r="E6" s="4" t="n">
        <v>4</v>
      </c>
      <c r="F6" s="4" t="n">
        <v>4</v>
      </c>
      <c r="G6" s="4" t="n">
        <f aca="false">E6*F6</f>
        <v>16</v>
      </c>
      <c r="H6" s="4" t="str">
        <f aca="false">IF(G6&gt;=20,"Nghiêm trọng",IF(G6&gt;=15,"Rất cao",IF(G6&gt;=10,"Cao",IF(G6&gt;=5,"Trung bình","Thấp"))))</f>
        <v>Rất cao</v>
      </c>
      <c r="I6" s="4" t="s">
        <v>58</v>
      </c>
      <c r="J6" s="4" t="s">
        <v>53</v>
      </c>
    </row>
    <row r="7" customFormat="false" ht="28.35" hidden="false" customHeight="false" outlineLevel="0" collapsed="false">
      <c r="A7" s="4" t="s">
        <v>59</v>
      </c>
      <c r="B7" s="4" t="s">
        <v>20</v>
      </c>
      <c r="C7" s="4" t="s">
        <v>60</v>
      </c>
      <c r="D7" s="4" t="s">
        <v>61</v>
      </c>
      <c r="E7" s="4" t="n">
        <v>4</v>
      </c>
      <c r="F7" s="4" t="n">
        <v>4</v>
      </c>
      <c r="G7" s="4" t="n">
        <f aca="false">E7*F7</f>
        <v>16</v>
      </c>
      <c r="H7" s="4" t="str">
        <f aca="false">IF(G7&gt;=20,"Nghiêm trọng",IF(G7&gt;=15,"Rất cao",IF(G7&gt;=10,"Cao",IF(G7&gt;=5,"Trung bình","Thấp"))))</f>
        <v>Rất cao</v>
      </c>
      <c r="I7" s="4" t="s">
        <v>62</v>
      </c>
      <c r="J7" s="4" t="s">
        <v>53</v>
      </c>
    </row>
    <row r="8" customFormat="false" ht="41.75" hidden="false" customHeight="false" outlineLevel="0" collapsed="false">
      <c r="A8" s="4" t="s">
        <v>63</v>
      </c>
      <c r="B8" s="4" t="s">
        <v>64</v>
      </c>
      <c r="C8" s="4" t="s">
        <v>65</v>
      </c>
      <c r="D8" s="4" t="s">
        <v>66</v>
      </c>
      <c r="E8" s="4" t="n">
        <v>4</v>
      </c>
      <c r="F8" s="4" t="n">
        <v>4</v>
      </c>
      <c r="G8" s="4" t="n">
        <f aca="false">E8*F8</f>
        <v>16</v>
      </c>
      <c r="H8" s="4" t="str">
        <f aca="false">IF(G8&gt;=20,"Nghiêm trọng",IF(G8&gt;=15,"Rất cao",IF(G8&gt;=10,"Cao",IF(G8&gt;=5,"Trung bình","Thấp"))))</f>
        <v>Rất cao</v>
      </c>
      <c r="I8" s="4" t="s">
        <v>67</v>
      </c>
      <c r="J8" s="4" t="s">
        <v>53</v>
      </c>
    </row>
    <row r="9" customFormat="false" ht="41.75" hidden="false" customHeight="false" outlineLevel="0" collapsed="false">
      <c r="A9" s="4" t="s">
        <v>68</v>
      </c>
      <c r="B9" s="4" t="s">
        <v>27</v>
      </c>
      <c r="C9" s="4" t="s">
        <v>69</v>
      </c>
      <c r="D9" s="4" t="s">
        <v>70</v>
      </c>
      <c r="E9" s="4" t="n">
        <v>3</v>
      </c>
      <c r="F9" s="4" t="n">
        <v>5</v>
      </c>
      <c r="G9" s="4" t="n">
        <f aca="false">E9*F9</f>
        <v>15</v>
      </c>
      <c r="H9" s="4" t="str">
        <f aca="false">IF(G9&gt;=20,"Nghiêm trọng",IF(G9&gt;=15,"Rất cao",IF(G9&gt;=10,"Cao",IF(G9&gt;=5,"Trung bình","Thấp"))))</f>
        <v>Rất cao</v>
      </c>
      <c r="I9" s="4" t="s">
        <v>71</v>
      </c>
      <c r="J9" s="4" t="s">
        <v>53</v>
      </c>
    </row>
    <row r="11" customFormat="false" ht="15" hidden="false" customHeight="false" outlineLevel="0" collapsed="false">
      <c r="A11" s="5" t="s">
        <v>72</v>
      </c>
    </row>
    <row r="12" customFormat="false" ht="15" hidden="false" customHeight="false" outlineLevel="0" collapsed="false">
      <c r="A12" s="7" t="s">
        <v>73</v>
      </c>
      <c r="B12" s="6" t="n">
        <f aca="false">COUNTIF(H4:H9,"Nghiêm trọng")</f>
        <v>2</v>
      </c>
    </row>
    <row r="13" customFormat="false" ht="15" hidden="false" customHeight="false" outlineLevel="0" collapsed="false">
      <c r="A13" s="8" t="s">
        <v>74</v>
      </c>
      <c r="B13" s="6" t="n">
        <f aca="false">COUNTIF(H4:H9,"Rất cao")</f>
        <v>4</v>
      </c>
    </row>
    <row r="14" customFormat="false" ht="15" hidden="false" customHeight="false" outlineLevel="0" collapsed="false">
      <c r="A14" s="9" t="s">
        <v>48</v>
      </c>
      <c r="B14" s="6" t="n">
        <f aca="false">COUNTIF(H4:H9,"Cao")</f>
        <v>0</v>
      </c>
    </row>
    <row r="15" customFormat="false" ht="15" hidden="false" customHeight="false" outlineLevel="0" collapsed="false">
      <c r="A15" s="10" t="s">
        <v>75</v>
      </c>
      <c r="B15" s="6" t="n">
        <f aca="false">COUNTIF(H4:H9,"Trung bình")</f>
        <v>0</v>
      </c>
    </row>
    <row r="16" customFormat="false" ht="15" hidden="false" customHeight="false" outlineLevel="0" collapsed="false">
      <c r="A16" s="11" t="s">
        <v>53</v>
      </c>
      <c r="B16" s="6" t="n">
        <f aca="false">COUNTIF(H4:H9,"Thấp")</f>
        <v>0</v>
      </c>
    </row>
    <row r="17" customFormat="false" ht="15" hidden="false" customHeight="false" outlineLevel="0" collapsed="false">
      <c r="A17" s="5" t="s">
        <v>76</v>
      </c>
      <c r="B17" s="6" t="n">
        <f aca="false">COUNTA(A4:A9)</f>
        <v>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79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 customFormat="false" ht="15" hidden="false" customHeight="false" outlineLevel="0" collapsed="false">
      <c r="A4" s="3" t="n">
        <v>5</v>
      </c>
      <c r="B4" s="12" t="s">
        <v>80</v>
      </c>
      <c r="C4" s="13" t="s">
        <v>81</v>
      </c>
      <c r="D4" s="14" t="s">
        <v>82</v>
      </c>
      <c r="E4" s="15" t="s">
        <v>83</v>
      </c>
      <c r="F4" s="15" t="s">
        <v>84</v>
      </c>
    </row>
    <row r="5" customFormat="false" ht="15" hidden="false" customHeight="false" outlineLevel="0" collapsed="false">
      <c r="A5" s="3" t="n">
        <v>4</v>
      </c>
      <c r="B5" s="16" t="s">
        <v>85</v>
      </c>
      <c r="C5" s="12" t="s">
        <v>86</v>
      </c>
      <c r="D5" s="13" t="s">
        <v>87</v>
      </c>
      <c r="E5" s="14" t="s">
        <v>88</v>
      </c>
      <c r="F5" s="15" t="s">
        <v>89</v>
      </c>
    </row>
    <row r="6" customFormat="false" ht="15" hidden="false" customHeight="false" outlineLevel="0" collapsed="false">
      <c r="A6" s="3" t="n">
        <v>3</v>
      </c>
      <c r="B6" s="16" t="s">
        <v>90</v>
      </c>
      <c r="C6" s="12" t="s">
        <v>91</v>
      </c>
      <c r="D6" s="12" t="s">
        <v>92</v>
      </c>
      <c r="E6" s="13" t="s">
        <v>87</v>
      </c>
      <c r="F6" s="14" t="s">
        <v>93</v>
      </c>
    </row>
    <row r="7" customFormat="false" ht="15" hidden="false" customHeight="false" outlineLevel="0" collapsed="false">
      <c r="A7" s="3" t="n">
        <v>2</v>
      </c>
      <c r="B7" s="16" t="s">
        <v>94</v>
      </c>
      <c r="C7" s="16" t="s">
        <v>85</v>
      </c>
      <c r="D7" s="12" t="s">
        <v>91</v>
      </c>
      <c r="E7" s="12" t="s">
        <v>86</v>
      </c>
      <c r="F7" s="13" t="s">
        <v>81</v>
      </c>
    </row>
    <row r="8" customFormat="false" ht="15" hidden="false" customHeight="false" outlineLevel="0" collapsed="false">
      <c r="A8" s="3" t="n">
        <v>1</v>
      </c>
      <c r="B8" s="16" t="s">
        <v>95</v>
      </c>
      <c r="C8" s="16" t="s">
        <v>94</v>
      </c>
      <c r="D8" s="16" t="s">
        <v>90</v>
      </c>
      <c r="E8" s="16" t="s">
        <v>85</v>
      </c>
      <c r="F8" s="12" t="s">
        <v>80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96</v>
      </c>
      <c r="B1" s="1"/>
      <c r="C1" s="1"/>
      <c r="D1" s="1"/>
    </row>
    <row r="2" customFormat="false" ht="15" hidden="false" customHeight="false" outlineLevel="0" collapsed="false">
      <c r="A2" s="2" t="s">
        <v>97</v>
      </c>
      <c r="B2" s="2"/>
      <c r="C2" s="2"/>
      <c r="D2" s="2"/>
    </row>
    <row r="3" customFormat="false" ht="15" hidden="false" customHeight="false" outlineLevel="0" collapsed="false">
      <c r="A3" s="3" t="s">
        <v>98</v>
      </c>
      <c r="B3" s="3" t="s">
        <v>99</v>
      </c>
      <c r="C3" s="3" t="s">
        <v>100</v>
      </c>
      <c r="D3" s="3" t="s">
        <v>101</v>
      </c>
    </row>
    <row r="4" customFormat="false" ht="28.35" hidden="false" customHeight="false" outlineLevel="0" collapsed="false">
      <c r="A4" s="4" t="n">
        <v>1</v>
      </c>
      <c r="B4" s="4" t="s">
        <v>102</v>
      </c>
      <c r="C4" s="17" t="s">
        <v>103</v>
      </c>
      <c r="D4" s="4" t="s">
        <v>104</v>
      </c>
    </row>
    <row r="5" customFormat="false" ht="28.35" hidden="false" customHeight="false" outlineLevel="0" collapsed="false">
      <c r="A5" s="4" t="n">
        <v>2</v>
      </c>
      <c r="B5" s="4" t="s">
        <v>105</v>
      </c>
      <c r="C5" s="17" t="s">
        <v>103</v>
      </c>
      <c r="D5" s="4" t="s">
        <v>106</v>
      </c>
    </row>
    <row r="6" customFormat="false" ht="28.35" hidden="false" customHeight="false" outlineLevel="0" collapsed="false">
      <c r="A6" s="4" t="n">
        <v>3</v>
      </c>
      <c r="B6" s="4" t="s">
        <v>107</v>
      </c>
      <c r="C6" s="18" t="s">
        <v>108</v>
      </c>
      <c r="D6" s="4" t="s">
        <v>109</v>
      </c>
    </row>
    <row r="7" customFormat="false" ht="28.35" hidden="false" customHeight="false" outlineLevel="0" collapsed="false">
      <c r="A7" s="4" t="n">
        <v>4</v>
      </c>
      <c r="B7" s="4" t="s">
        <v>110</v>
      </c>
      <c r="C7" s="18" t="s">
        <v>108</v>
      </c>
      <c r="D7" s="4" t="s">
        <v>111</v>
      </c>
    </row>
    <row r="8" customFormat="false" ht="28.35" hidden="false" customHeight="false" outlineLevel="0" collapsed="false">
      <c r="A8" s="4" t="n">
        <v>5</v>
      </c>
      <c r="B8" s="4" t="s">
        <v>112</v>
      </c>
      <c r="C8" s="19" t="s">
        <v>113</v>
      </c>
      <c r="D8" s="4" t="s">
        <v>114</v>
      </c>
    </row>
    <row r="9" customFormat="false" ht="28.35" hidden="false" customHeight="false" outlineLevel="0" collapsed="false">
      <c r="A9" s="4" t="n">
        <v>6</v>
      </c>
      <c r="B9" s="4" t="s">
        <v>115</v>
      </c>
      <c r="C9" s="19" t="s">
        <v>113</v>
      </c>
      <c r="D9" s="4" t="s">
        <v>116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2026-07-24T11:55:29Z</dcterms:created>
  <dc:creator>openpyxl</dc:creator>
  <dc:description/>
  <dc:language>en-US</dc:language>
  <cp:lastModifiedBy/>
  <dcterms:modified xsi:type="dcterms:W3CDTF">2026-07-24T11:55:29Z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